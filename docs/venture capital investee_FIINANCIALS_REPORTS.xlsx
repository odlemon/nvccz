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0700" firstSheet="1" activeTab="3"/>
  </bookViews>
  <sheets>
    <sheet name="INCOME STATEMENTS" sheetId="6" r:id="rId1"/>
    <sheet name="NON FINANCIAL KPIs" sheetId="8" r:id="rId2"/>
    <sheet name="STATEMENT OF FINANCIAL POSITION" sheetId="1" r:id="rId3"/>
    <sheet name="CASHFLOW STATEMENTS" sheetId="9" r:id="rId4"/>
  </sheets>
  <definedNames>
    <definedName name="_xlnm.Print_Area" localSheetId="3">'CASHFLOW STATEMENTS'!$A$1:$E$43</definedName>
    <definedName name="_xlnm.Print_Area" localSheetId="2">'STATEMENT OF FINANCIAL POSITION'!$A$1:$F$63</definedName>
    <definedName name="valuevx">42.314159</definedName>
    <definedName name="vertex42_copyright" localSheetId="3" hidden="1">"© 2008-2015 Vertex42 LLC"</definedName>
    <definedName name="vertex42_copyright" hidden="1">"© 2008-2019 Vertex42 LLC"</definedName>
    <definedName name="vertex42_id" localSheetId="3" hidden="1">"cash-flow-statement.xlsx"</definedName>
    <definedName name="vertex42_id" hidden="1">"balance-sheet.xlsx"</definedName>
    <definedName name="vertex42_title" localSheetId="3" hidden="1">"Cash Flow Statement"</definedName>
    <definedName name="vertex42_title" hidden="1">"Balance Sheet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<sst xmlns="http://schemas.openxmlformats.org/spreadsheetml/2006/main" count="180" uniqueCount="172">
  <si>
    <t>Income statement</t>
  </si>
  <si>
    <t>September 25, 2025</t>
  </si>
  <si>
    <t>Revenue</t>
  </si>
  <si>
    <t>Gross sales</t>
  </si>
  <si>
    <t>Returns, refunds and allowances</t>
  </si>
  <si>
    <t>Other revenue</t>
  </si>
  <si>
    <t>Total net revenue</t>
  </si>
  <si>
    <t>Cost of goods sold</t>
  </si>
  <si>
    <t>Goods purchased</t>
  </si>
  <si>
    <t>Materials</t>
  </si>
  <si>
    <t>Labour</t>
  </si>
  <si>
    <t>Overhead</t>
  </si>
  <si>
    <t>Total cost of goods sold</t>
  </si>
  <si>
    <t>Gross profit</t>
  </si>
  <si>
    <t>Operating expenses</t>
  </si>
  <si>
    <t>Advertising and promotion</t>
  </si>
  <si>
    <t>Bad debt</t>
  </si>
  <si>
    <t>Bank service charges</t>
  </si>
  <si>
    <t>Computer and internet</t>
  </si>
  <si>
    <t>Delivery/freight expense</t>
  </si>
  <si>
    <t>Furniture and equipment</t>
  </si>
  <si>
    <t>Insurance</t>
  </si>
  <si>
    <t>Maintenance and repairs</t>
  </si>
  <si>
    <t>Mileage</t>
  </si>
  <si>
    <t>Office supplies</t>
  </si>
  <si>
    <t>Other expenses</t>
  </si>
  <si>
    <t>Payroll processing</t>
  </si>
  <si>
    <t>Postage and delivery</t>
  </si>
  <si>
    <t>Professional services</t>
  </si>
  <si>
    <t>Rent/lease</t>
  </si>
  <si>
    <t>Research and development</t>
  </si>
  <si>
    <t>Salaries, benefits and wages</t>
  </si>
  <si>
    <t>Travel</t>
  </si>
  <si>
    <t>Utilities/telephone expenses</t>
  </si>
  <si>
    <t>Depreciation and amortisation</t>
  </si>
  <si>
    <t>Total operating expenses</t>
  </si>
  <si>
    <t>Operating income (loss) EBIT</t>
  </si>
  <si>
    <t>Non-operating revenues and expenses</t>
  </si>
  <si>
    <t>(Less interest expense)</t>
  </si>
  <si>
    <t>Income before taxes (EBT)</t>
  </si>
  <si>
    <t>(Less income tax expense)</t>
  </si>
  <si>
    <t xml:space="preserve">Income from continuing operations	</t>
  </si>
  <si>
    <t>Below-the-line items</t>
  </si>
  <si>
    <t>Income from discontinued operations</t>
  </si>
  <si>
    <t>Effect of accounting changes</t>
  </si>
  <si>
    <t>Extraordinary items</t>
  </si>
  <si>
    <t>Net income</t>
  </si>
  <si>
    <t>Parameter</t>
  </si>
  <si>
    <t>Description</t>
  </si>
  <si>
    <t>Output</t>
  </si>
  <si>
    <t>Customer Acquisition</t>
  </si>
  <si>
    <t>New customers acquired, active Customers</t>
  </si>
  <si>
    <t>Number of Client</t>
  </si>
  <si>
    <t>Customer Retention</t>
  </si>
  <si>
    <t>Customers at the end of the period against number of customers at Beginning</t>
  </si>
  <si>
    <t>Percentage</t>
  </si>
  <si>
    <t>Customer Satisfaction</t>
  </si>
  <si>
    <t>Number of Complaints per period, and resolution time</t>
  </si>
  <si>
    <t>number complaints and period of resolution</t>
  </si>
  <si>
    <t>Market Penetration</t>
  </si>
  <si>
    <t>Coverage done in the Market</t>
  </si>
  <si>
    <t>No. Outlets</t>
  </si>
  <si>
    <t>Innovations</t>
  </si>
  <si>
    <t>Number of new products, new systems/Automations, budget for R&amp;D</t>
  </si>
  <si>
    <t>HR &amp; Culture</t>
  </si>
  <si>
    <t>Staff Turnover</t>
  </si>
  <si>
    <t>Number of Employees leaving the Job</t>
  </si>
  <si>
    <t>Trainings and Certfications</t>
  </si>
  <si>
    <t>number of Trainings Done</t>
  </si>
  <si>
    <t>Employee Engagement</t>
  </si>
  <si>
    <t>Number of Engagements done per period</t>
  </si>
  <si>
    <t>Healthy and Safety</t>
  </si>
  <si>
    <t>trainings done on safety</t>
  </si>
  <si>
    <t>ESG</t>
  </si>
  <si>
    <t>Gorvanance</t>
  </si>
  <si>
    <t>Frequency of Board Meetings</t>
  </si>
  <si>
    <t>Board Composition</t>
  </si>
  <si>
    <t>Timely management reports</t>
  </si>
  <si>
    <t>Environmental</t>
  </si>
  <si>
    <t>Emissions &amp; Waste reduced</t>
  </si>
  <si>
    <t>Accident reduced</t>
  </si>
  <si>
    <t>Social</t>
  </si>
  <si>
    <t>Empowerment; Youth, Women, disadvantaged</t>
  </si>
  <si>
    <t>Jobs created</t>
  </si>
  <si>
    <t>CSR activities</t>
  </si>
  <si>
    <t>Balance Sheet</t>
  </si>
  <si>
    <t>Date:</t>
  </si>
  <si>
    <t>Assets</t>
  </si>
  <si>
    <t>Current Assets</t>
  </si>
  <si>
    <t>Cash</t>
  </si>
  <si>
    <t>Accounts receivable</t>
  </si>
  <si>
    <t>Inventory</t>
  </si>
  <si>
    <t>Prepaid expenses</t>
  </si>
  <si>
    <t>Short-term investments</t>
  </si>
  <si>
    <t>Total current assets</t>
  </si>
  <si>
    <t>Fixed (Long-Term) Assets</t>
  </si>
  <si>
    <t>Long-term investments</t>
  </si>
  <si>
    <t>Property, plant, and equipment</t>
  </si>
  <si>
    <t>(Less accumulated depreciation)</t>
  </si>
  <si>
    <t>Intangible assets</t>
  </si>
  <si>
    <t>Total fixed assets</t>
  </si>
  <si>
    <t>Other Assets</t>
  </si>
  <si>
    <t>Deferred income tax</t>
  </si>
  <si>
    <t>Other</t>
  </si>
  <si>
    <t>Total Other Assets</t>
  </si>
  <si>
    <t>Total Assets</t>
  </si>
  <si>
    <t>[42]</t>
  </si>
  <si>
    <t>Liabilities and Owner's Equity</t>
  </si>
  <si>
    <t>Current Liabilities</t>
  </si>
  <si>
    <t>Accounts payable</t>
  </si>
  <si>
    <t>Short-term loans</t>
  </si>
  <si>
    <t>Income taxes payable</t>
  </si>
  <si>
    <t>Accrued salaries and wages</t>
  </si>
  <si>
    <t>Unearned revenue</t>
  </si>
  <si>
    <t>Current portion of long-term debt</t>
  </si>
  <si>
    <t>Total current liabilities</t>
  </si>
  <si>
    <t>Long-Term Liabilities</t>
  </si>
  <si>
    <t>Long-term debt</t>
  </si>
  <si>
    <t>Total long-term liabilities</t>
  </si>
  <si>
    <t>Owner's Equity</t>
  </si>
  <si>
    <t>Owner's investment</t>
  </si>
  <si>
    <t>Retained earnings</t>
  </si>
  <si>
    <t>Total owner's equity</t>
  </si>
  <si>
    <t>Total Liabilities and Owner's Equity</t>
  </si>
  <si>
    <t>{42}</t>
  </si>
  <si>
    <t>Common Financial Ratios (KPI's)</t>
  </si>
  <si>
    <r>
      <rPr>
        <b/>
        <sz val="10"/>
        <rFont val="Arial"/>
        <charset val="134"/>
        <scheme val="minor"/>
      </rPr>
      <t xml:space="preserve">Debt Ratio </t>
    </r>
    <r>
      <rPr>
        <sz val="10"/>
        <rFont val="Arial"/>
        <charset val="134"/>
        <scheme val="minor"/>
      </rPr>
      <t>(Total Liabilities / Total Assets)</t>
    </r>
  </si>
  <si>
    <r>
      <rPr>
        <b/>
        <sz val="10"/>
        <rFont val="Arial"/>
        <charset val="134"/>
        <scheme val="minor"/>
      </rPr>
      <t xml:space="preserve">Current Ratio </t>
    </r>
    <r>
      <rPr>
        <sz val="10"/>
        <rFont val="Arial"/>
        <charset val="134"/>
        <scheme val="minor"/>
      </rPr>
      <t>(Current Assets / Current Liabilities)</t>
    </r>
  </si>
  <si>
    <r>
      <rPr>
        <b/>
        <sz val="10"/>
        <rFont val="Arial"/>
        <charset val="134"/>
        <scheme val="minor"/>
      </rPr>
      <t xml:space="preserve">Working Capital </t>
    </r>
    <r>
      <rPr>
        <sz val="10"/>
        <rFont val="Arial"/>
        <charset val="134"/>
        <scheme val="minor"/>
      </rPr>
      <t>(Current Assets - Current Liabilities)</t>
    </r>
  </si>
  <si>
    <r>
      <rPr>
        <b/>
        <sz val="10"/>
        <rFont val="Arial"/>
        <charset val="134"/>
        <scheme val="minor"/>
      </rPr>
      <t>Assets-to-Equity Ratio</t>
    </r>
    <r>
      <rPr>
        <sz val="10"/>
        <rFont val="Arial"/>
        <charset val="134"/>
        <scheme val="minor"/>
      </rPr>
      <t xml:space="preserve"> (Total Assets / Owner's Equity)</t>
    </r>
  </si>
  <si>
    <r>
      <rPr>
        <b/>
        <sz val="10"/>
        <rFont val="Arial"/>
        <charset val="134"/>
        <scheme val="minor"/>
      </rPr>
      <t>ROCE (</t>
    </r>
    <r>
      <rPr>
        <sz val="10"/>
        <rFont val="Arial"/>
        <charset val="134"/>
        <scheme val="minor"/>
      </rPr>
      <t>EBIT/ Total Assets - Current Liabilities)</t>
    </r>
  </si>
  <si>
    <r>
      <rPr>
        <b/>
        <sz val="10"/>
        <rFont val="Arial"/>
        <charset val="134"/>
        <scheme val="minor"/>
      </rPr>
      <t xml:space="preserve">Revenue Growth Rate </t>
    </r>
    <r>
      <rPr>
        <sz val="10"/>
        <rFont val="Arial"/>
        <charset val="134"/>
        <scheme val="minor"/>
      </rPr>
      <t>(Current - Prior Period revenue)/Prior Period Revenue</t>
    </r>
  </si>
  <si>
    <t>PROFITABILITY RATIOS</t>
  </si>
  <si>
    <r>
      <rPr>
        <b/>
        <sz val="10"/>
        <rFont val="Arial"/>
        <charset val="134"/>
      </rPr>
      <t xml:space="preserve">Net Profit Margin Ratio </t>
    </r>
    <r>
      <rPr>
        <sz val="10"/>
        <rFont val="Arial"/>
        <charset val="134"/>
      </rPr>
      <t xml:space="preserve">: Net Profit / Revenue </t>
    </r>
  </si>
  <si>
    <r>
      <rPr>
        <b/>
        <sz val="10"/>
        <rFont val="Arial"/>
        <charset val="134"/>
      </rPr>
      <t>Return on Assets (ROA)</t>
    </r>
    <r>
      <rPr>
        <sz val="10"/>
        <rFont val="Arial"/>
        <charset val="134"/>
      </rPr>
      <t>: Net Profit / Total Assets</t>
    </r>
  </si>
  <si>
    <r>
      <rPr>
        <b/>
        <sz val="10"/>
        <rFont val="Arial"/>
        <charset val="134"/>
      </rPr>
      <t>Return on Equity (ROE)</t>
    </r>
    <r>
      <rPr>
        <sz val="10"/>
        <rFont val="Arial"/>
        <charset val="134"/>
      </rPr>
      <t xml:space="preserve"> = Net Profit / Total Shareholders' Equity</t>
    </r>
  </si>
  <si>
    <r>
      <rPr>
        <b/>
        <sz val="10"/>
        <rFont val="Arial"/>
        <charset val="134"/>
        <scheme val="minor"/>
      </rPr>
      <t xml:space="preserve">Gross Margin= </t>
    </r>
    <r>
      <rPr>
        <sz val="10"/>
        <rFont val="Arial"/>
        <charset val="134"/>
        <scheme val="minor"/>
      </rPr>
      <t>((Revenue-COGS)/Revenue)</t>
    </r>
  </si>
  <si>
    <r>
      <rPr>
        <b/>
        <sz val="10"/>
        <rFont val="Arial"/>
        <charset val="134"/>
        <scheme val="minor"/>
      </rPr>
      <t>Burn Rate</t>
    </r>
    <r>
      <rPr>
        <sz val="10"/>
        <rFont val="Arial"/>
        <charset val="134"/>
        <scheme val="minor"/>
      </rPr>
      <t xml:space="preserve"> ( Cash Spent per month)</t>
    </r>
  </si>
  <si>
    <r>
      <rPr>
        <b/>
        <sz val="10"/>
        <rFont val="Arial"/>
        <charset val="134"/>
        <scheme val="minor"/>
      </rPr>
      <t xml:space="preserve">Runway (months)- </t>
    </r>
    <r>
      <rPr>
        <sz val="10"/>
        <rFont val="Arial"/>
        <charset val="134"/>
        <scheme val="minor"/>
      </rPr>
      <t>(Cash Balance/Burn Rate)</t>
    </r>
  </si>
  <si>
    <r>
      <rPr>
        <b/>
        <sz val="10"/>
        <rFont val="Arial"/>
        <charset val="134"/>
        <scheme val="minor"/>
      </rPr>
      <t xml:space="preserve">EBITDA Margin- </t>
    </r>
    <r>
      <rPr>
        <sz val="10"/>
        <rFont val="Arial"/>
        <charset val="134"/>
        <scheme val="minor"/>
      </rPr>
      <t>(EBITDA/Revenue)*100</t>
    </r>
  </si>
  <si>
    <r>
      <rPr>
        <b/>
        <sz val="10"/>
        <rFont val="Arial"/>
        <charset val="134"/>
        <scheme val="minor"/>
      </rPr>
      <t>Debt-to-Equity Ratio</t>
    </r>
    <r>
      <rPr>
        <sz val="10"/>
        <rFont val="Arial"/>
        <charset val="134"/>
        <scheme val="minor"/>
      </rPr>
      <t xml:space="preserve"> (Total Liabilities / Owner's Equity)</t>
    </r>
  </si>
  <si>
    <t>Cash Flow Statement</t>
  </si>
  <si>
    <t>For the Year Ending</t>
  </si>
  <si>
    <t>Cash at Beginning of Year</t>
  </si>
  <si>
    <t>Operations</t>
  </si>
  <si>
    <t>Cash receipts from</t>
  </si>
  <si>
    <t>Customers</t>
  </si>
  <si>
    <t>Other Operations</t>
  </si>
  <si>
    <t>Cash paid for</t>
  </si>
  <si>
    <t>Inventory purchases</t>
  </si>
  <si>
    <t>General operating and administrative expenses</t>
  </si>
  <si>
    <t>Wage expenses</t>
  </si>
  <si>
    <t>Interest</t>
  </si>
  <si>
    <t>Income taxes</t>
  </si>
  <si>
    <t>Net Cash Flow from Operations</t>
  </si>
  <si>
    <t>Investing Activities</t>
  </si>
  <si>
    <t>Sale of property and equipment</t>
  </si>
  <si>
    <t>Collection of principal on loans</t>
  </si>
  <si>
    <t>Sale of investment securities</t>
  </si>
  <si>
    <t>Purchase of property and equipment</t>
  </si>
  <si>
    <t>Making loans to other entities</t>
  </si>
  <si>
    <t>Purchase of investment securities</t>
  </si>
  <si>
    <t>Net Cash Flow from Investing Activities</t>
  </si>
  <si>
    <t>Financing Activities</t>
  </si>
  <si>
    <t>Issuance of stock</t>
  </si>
  <si>
    <t>Borrowing</t>
  </si>
  <si>
    <t>Repurchase of stock (treasury stock)</t>
  </si>
  <si>
    <t>Repayment of loans</t>
  </si>
  <si>
    <t>Dividends</t>
  </si>
  <si>
    <t>Net Cash Flow from Financing Activities</t>
  </si>
  <si>
    <t>Net Increase in Cash</t>
  </si>
  <si>
    <t>Cash at End of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</si>
</sst>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(* #,##0_);_(* \(#,##0\);_(* &quot;-&quot;_);_(@_)"/>
    <numFmt numFmtId="178" formatCode="_(&quot;$&quot;* #,##0_);_(&quot;$&quot;* \(#,##0\);_(&quot;$&quot;* &quot;-&quot;_);_(@_)"/>
    <numFmt numFmtId="179" formatCode="#,##0_ ;[Red]\-#,##0\ "/>
  </numFmts>
  <fonts count="55">
    <font>
      <sz val="11"/>
      <name val="Arial"/>
      <charset val="134"/>
    </font>
    <font>
      <sz val="10"/>
      <name val="Arial"/>
      <charset val="134"/>
    </font>
    <font>
      <sz val="16"/>
      <name val="Arial"/>
      <charset val="134"/>
      <scheme val="major"/>
    </font>
    <font>
      <b/>
      <sz val="16"/>
      <color theme="4"/>
      <name val="Arial"/>
      <charset val="134"/>
      <scheme val="major"/>
    </font>
    <font>
      <sz val="10"/>
      <name val="Arial"/>
      <charset val="134"/>
      <scheme val="minor"/>
    </font>
    <font>
      <b/>
      <sz val="12"/>
      <color indexed="9"/>
      <name val="Arial"/>
      <charset val="134"/>
      <scheme val="major"/>
    </font>
    <font>
      <b/>
      <sz val="12"/>
      <color indexed="9"/>
      <name val="Arial"/>
      <charset val="134"/>
    </font>
    <font>
      <sz val="12"/>
      <name val="Arial"/>
      <charset val="134"/>
      <scheme val="minor"/>
    </font>
    <font>
      <sz val="6"/>
      <color indexed="9"/>
      <name val="Arial"/>
      <charset val="134"/>
    </font>
    <font>
      <sz val="10"/>
      <color indexed="9"/>
      <name val="Arial"/>
      <charset val="134"/>
      <scheme val="minor"/>
    </font>
    <font>
      <b/>
      <sz val="12"/>
      <name val="Arial"/>
      <charset val="134"/>
      <scheme val="minor"/>
    </font>
    <font>
      <sz val="3"/>
      <color indexed="9"/>
      <name val="Arial"/>
      <charset val="134"/>
      <scheme val="minor"/>
    </font>
    <font>
      <sz val="10"/>
      <color indexed="9"/>
      <name val="Arial"/>
      <charset val="134"/>
    </font>
    <font>
      <sz val="18"/>
      <name val="Arial"/>
      <charset val="134"/>
      <scheme val="major"/>
    </font>
    <font>
      <sz val="16"/>
      <name val="Arial"/>
      <charset val="134"/>
    </font>
    <font>
      <b/>
      <sz val="10"/>
      <name val="Arial"/>
      <charset val="134"/>
      <scheme val="minor"/>
    </font>
    <font>
      <b/>
      <sz val="14"/>
      <color indexed="9"/>
      <name val="Arial"/>
      <charset val="134"/>
      <scheme val="major"/>
    </font>
    <font>
      <b/>
      <i/>
      <sz val="11"/>
      <name val="Arial"/>
      <charset val="134"/>
      <scheme val="minor"/>
    </font>
    <font>
      <b/>
      <i/>
      <sz val="10"/>
      <name val="Arial"/>
      <charset val="134"/>
      <scheme val="minor"/>
    </font>
    <font>
      <i/>
      <sz val="10"/>
      <name val="Arial"/>
      <charset val="134"/>
      <scheme val="minor"/>
    </font>
    <font>
      <sz val="2"/>
      <color indexed="9"/>
      <name val="Arial"/>
      <charset val="134"/>
    </font>
    <font>
      <b/>
      <u/>
      <sz val="10"/>
      <name val="Arial"/>
      <charset val="134"/>
    </font>
    <font>
      <b/>
      <sz val="20"/>
      <color theme="4"/>
      <name val="Arial"/>
      <charset val="134"/>
      <scheme val="major"/>
    </font>
    <font>
      <sz val="2"/>
      <color indexed="9"/>
      <name val="Arial"/>
      <charset val="134"/>
      <scheme val="minor"/>
    </font>
    <font>
      <b/>
      <sz val="11"/>
      <name val="Arial"/>
      <charset val="134"/>
    </font>
    <font>
      <sz val="12"/>
      <color theme="1"/>
      <name val="Arial"/>
      <charset val="134"/>
    </font>
    <font>
      <sz val="12"/>
      <color theme="9" tint="0.399975585192419"/>
      <name val="Arial"/>
      <charset val="134"/>
    </font>
    <font>
      <b/>
      <sz val="26"/>
      <color rgb="FF00A65C"/>
      <name val="Arial"/>
      <charset val="134"/>
    </font>
    <font>
      <sz val="14"/>
      <color theme="1"/>
      <name val="Arial"/>
      <charset val="134"/>
    </font>
    <font>
      <b/>
      <sz val="14"/>
      <name val="Arial"/>
      <charset val="134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Arial"/>
      <charset val="0"/>
      <scheme val="minor"/>
    </font>
    <font>
      <sz val="11"/>
      <color indexed="10"/>
      <name val="Calibri"/>
      <charset val="134"/>
    </font>
    <font>
      <b/>
      <sz val="18"/>
      <color indexed="18"/>
      <name val="Cambria"/>
      <charset val="134"/>
    </font>
    <font>
      <i/>
      <sz val="11"/>
      <color indexed="23"/>
      <name val="Calibri"/>
      <charset val="134"/>
    </font>
    <font>
      <b/>
      <sz val="15"/>
      <color indexed="18"/>
      <name val="Calibri"/>
      <charset val="134"/>
    </font>
    <font>
      <b/>
      <sz val="13"/>
      <color indexed="18"/>
      <name val="Calibri"/>
      <charset val="134"/>
    </font>
    <font>
      <b/>
      <sz val="11"/>
      <color indexed="18"/>
      <name val="Calibri"/>
      <charset val="134"/>
    </font>
    <font>
      <sz val="11"/>
      <color indexed="53"/>
      <name val="Calibri"/>
      <charset val="134"/>
    </font>
    <font>
      <b/>
      <sz val="11"/>
      <color indexed="63"/>
      <name val="Calibri"/>
      <charset val="134"/>
    </font>
    <font>
      <b/>
      <sz val="11"/>
      <color indexed="50"/>
      <name val="Calibri"/>
      <charset val="134"/>
    </font>
    <font>
      <b/>
      <sz val="11"/>
      <color indexed="9"/>
      <name val="Calibri"/>
      <charset val="134"/>
    </font>
    <font>
      <sz val="11"/>
      <color indexed="50"/>
      <name val="Calibri"/>
      <charset val="134"/>
    </font>
    <font>
      <b/>
      <sz val="11"/>
      <color indexed="8"/>
      <name val="Calibri"/>
      <charset val="134"/>
    </font>
    <font>
      <sz val="11"/>
      <color indexed="17"/>
      <name val="Calibri"/>
      <charset val="134"/>
    </font>
    <font>
      <sz val="11"/>
      <color indexed="36"/>
      <name val="Calibri"/>
      <charset val="134"/>
    </font>
    <font>
      <sz val="11"/>
      <color indexed="59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</font>
    <font>
      <sz val="11"/>
      <name val="Arial"/>
      <charset val="134"/>
      <scheme val="minor"/>
    </font>
    <font>
      <sz val="12"/>
      <color theme="1"/>
      <name val="Arial"/>
      <charset val="134"/>
      <scheme val="minor"/>
    </font>
    <font>
      <b/>
      <sz val="10"/>
      <name val="Arial"/>
      <charset val="134"/>
    </font>
  </fonts>
  <fills count="2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EF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</fills>
  <borders count="21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0"/>
      </bottom>
      <diagonal/>
    </border>
    <border>
      <left/>
      <right/>
      <top style="thin">
        <color indexed="40"/>
      </top>
      <bottom style="double">
        <color indexed="40"/>
      </bottom>
      <diagonal/>
    </border>
  </borders>
  <cellStyleXfs count="51">
    <xf numFmtId="0" fontId="0" fillId="0" borderId="0"/>
    <xf numFmtId="43" fontId="3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center"/>
    </xf>
    <xf numFmtId="0" fontId="1" fillId="9" borderId="1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13" applyNumberFormat="0" applyFill="0" applyAlignment="0" applyProtection="0"/>
    <xf numFmtId="0" fontId="39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0" applyNumberFormat="0" applyFill="0" applyBorder="0" applyAlignment="0" applyProtection="0"/>
    <xf numFmtId="0" fontId="41" fillId="10" borderId="16" applyNumberFormat="0" applyAlignment="0" applyProtection="0"/>
    <xf numFmtId="0" fontId="42" fillId="11" borderId="17" applyNumberFormat="0" applyAlignment="0" applyProtection="0"/>
    <xf numFmtId="0" fontId="43" fillId="11" borderId="16" applyNumberFormat="0" applyAlignment="0" applyProtection="0"/>
    <xf numFmtId="0" fontId="44" fillId="12" borderId="18" applyNumberFormat="0" applyAlignment="0" applyProtection="0"/>
    <xf numFmtId="0" fontId="45" fillId="0" borderId="19" applyNumberFormat="0" applyFill="0" applyAlignment="0" applyProtection="0"/>
    <xf numFmtId="0" fontId="46" fillId="0" borderId="20" applyNumberFormat="0" applyFill="0" applyAlignment="0" applyProtection="0"/>
    <xf numFmtId="0" fontId="47" fillId="13" borderId="0" applyNumberFormat="0" applyBorder="0" applyAlignment="0" applyProtection="0"/>
    <xf numFmtId="0" fontId="48" fillId="14" borderId="0" applyNumberFormat="0" applyBorder="0" applyAlignment="0" applyProtection="0"/>
    <xf numFmtId="0" fontId="49" fillId="9" borderId="0" applyNumberFormat="0" applyBorder="0" applyAlignment="0" applyProtection="0"/>
    <xf numFmtId="0" fontId="50" fillId="15" borderId="0" applyNumberFormat="0" applyBorder="0" applyAlignment="0" applyProtection="0"/>
    <xf numFmtId="0" fontId="51" fillId="16" borderId="0" applyNumberFormat="0" applyBorder="0" applyAlignment="0" applyProtection="0"/>
    <xf numFmtId="0" fontId="51" fillId="17" borderId="0" applyNumberFormat="0" applyBorder="0" applyAlignment="0" applyProtection="0"/>
    <xf numFmtId="0" fontId="50" fillId="18" borderId="0" applyNumberFormat="0" applyBorder="0" applyAlignment="0" applyProtection="0"/>
    <xf numFmtId="0" fontId="50" fillId="19" borderId="0" applyNumberFormat="0" applyBorder="0" applyAlignment="0" applyProtection="0"/>
    <xf numFmtId="0" fontId="51" fillId="20" borderId="0" applyNumberFormat="0" applyBorder="0" applyAlignment="0" applyProtection="0"/>
    <xf numFmtId="0" fontId="51" fillId="21" borderId="0" applyNumberFormat="0" applyBorder="0" applyAlignment="0" applyProtection="0"/>
    <xf numFmtId="0" fontId="50" fillId="22" borderId="0" applyNumberFormat="0" applyBorder="0" applyAlignment="0" applyProtection="0"/>
    <xf numFmtId="0" fontId="50" fillId="22" borderId="0" applyNumberFormat="0" applyBorder="0" applyAlignment="0" applyProtection="0"/>
    <xf numFmtId="0" fontId="51" fillId="20" borderId="0" applyNumberFormat="0" applyBorder="0" applyAlignment="0" applyProtection="0"/>
    <xf numFmtId="0" fontId="51" fillId="21" borderId="0" applyNumberFormat="0" applyBorder="0" applyAlignment="0" applyProtection="0"/>
    <xf numFmtId="0" fontId="50" fillId="22" borderId="0" applyNumberFormat="0" applyBorder="0" applyAlignment="0" applyProtection="0"/>
    <xf numFmtId="0" fontId="50" fillId="23" borderId="0" applyNumberFormat="0" applyBorder="0" applyAlignment="0" applyProtection="0"/>
    <xf numFmtId="0" fontId="51" fillId="16" borderId="0" applyNumberFormat="0" applyBorder="0" applyAlignment="0" applyProtection="0"/>
    <xf numFmtId="0" fontId="51" fillId="17" borderId="0" applyNumberFormat="0" applyBorder="0" applyAlignment="0" applyProtection="0"/>
    <xf numFmtId="0" fontId="50" fillId="18" borderId="0" applyNumberFormat="0" applyBorder="0" applyAlignment="0" applyProtection="0"/>
    <xf numFmtId="0" fontId="50" fillId="24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0" fillId="15" borderId="0" applyNumberFormat="0" applyBorder="0" applyAlignment="0" applyProtection="0"/>
    <xf numFmtId="0" fontId="50" fillId="26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50" fillId="10" borderId="0" applyNumberFormat="0" applyBorder="0" applyAlignment="0" applyProtection="0"/>
    <xf numFmtId="0" fontId="52" fillId="0" borderId="0"/>
    <xf numFmtId="0" fontId="53" fillId="0" borderId="0"/>
  </cellStyleXfs>
  <cellXfs count="8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 applyProtection="1">
      <alignment horizontal="right" vertical="center"/>
      <protection locked="0"/>
    </xf>
    <xf numFmtId="58" fontId="4" fillId="0" borderId="0" xfId="0" applyNumberFormat="1" applyFont="1" applyAlignment="1" applyProtection="1">
      <alignment vertical="center"/>
      <protection locked="0"/>
    </xf>
    <xf numFmtId="38" fontId="4" fillId="0" borderId="1" xfId="2" applyNumberFormat="1" applyFont="1" applyBorder="1" applyAlignment="1" applyProtection="1">
      <alignment vertical="center"/>
      <protection locked="0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177" fontId="4" fillId="0" borderId="0" xfId="2" applyNumberFormat="1" applyFont="1" applyBorder="1" applyAlignment="1">
      <alignment vertical="center"/>
    </xf>
    <xf numFmtId="0" fontId="7" fillId="3" borderId="0" xfId="0" applyFont="1" applyFill="1" applyAlignment="1">
      <alignment vertical="center"/>
    </xf>
    <xf numFmtId="38" fontId="7" fillId="3" borderId="2" xfId="0" applyNumberFormat="1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7" fillId="3" borderId="0" xfId="0" applyFont="1" applyFill="1" applyAlignment="1" applyProtection="1">
      <alignment vertical="center"/>
      <protection locked="0"/>
    </xf>
    <xf numFmtId="0" fontId="9" fillId="0" borderId="0" xfId="0" applyFont="1" applyAlignment="1">
      <alignment horizontal="right" vertical="center"/>
    </xf>
    <xf numFmtId="0" fontId="7" fillId="4" borderId="0" xfId="0" applyFont="1" applyFill="1" applyAlignment="1" applyProtection="1">
      <alignment vertical="center"/>
      <protection locked="0"/>
    </xf>
    <xf numFmtId="38" fontId="10" fillId="4" borderId="3" xfId="0" applyNumberFormat="1" applyFont="1" applyFill="1" applyBorder="1" applyAlignment="1">
      <alignment vertical="center"/>
    </xf>
    <xf numFmtId="177" fontId="4" fillId="3" borderId="0" xfId="2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horizontal="left" vertical="center"/>
    </xf>
    <xf numFmtId="0" fontId="4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 applyProtection="1">
      <alignment vertical="center"/>
      <protection locked="0"/>
    </xf>
    <xf numFmtId="0" fontId="17" fillId="4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177" fontId="4" fillId="4" borderId="0" xfId="2" applyNumberFormat="1" applyFont="1" applyFill="1" applyAlignment="1" applyProtection="1">
      <alignment vertical="center"/>
    </xf>
    <xf numFmtId="177" fontId="4" fillId="0" borderId="0" xfId="2" applyNumberFormat="1" applyFont="1" applyAlignment="1" applyProtection="1">
      <alignment vertical="center"/>
      <protection locked="0"/>
    </xf>
    <xf numFmtId="0" fontId="19" fillId="0" borderId="0" xfId="0" applyFont="1" applyAlignment="1">
      <alignment horizontal="right" vertical="center"/>
    </xf>
    <xf numFmtId="178" fontId="4" fillId="3" borderId="2" xfId="2" applyNumberFormat="1" applyFont="1" applyFill="1" applyBorder="1" applyAlignment="1" applyProtection="1">
      <alignment vertical="center"/>
    </xf>
    <xf numFmtId="0" fontId="10" fillId="3" borderId="0" xfId="0" applyFont="1" applyFill="1" applyAlignment="1">
      <alignment vertical="center"/>
    </xf>
    <xf numFmtId="178" fontId="10" fillId="4" borderId="3" xfId="0" applyNumberFormat="1" applyFont="1" applyFill="1" applyBorder="1" applyAlignment="1">
      <alignment vertical="center"/>
    </xf>
    <xf numFmtId="0" fontId="20" fillId="0" borderId="0" xfId="0" applyFont="1" applyAlignment="1">
      <alignment horizontal="right" vertical="center"/>
    </xf>
    <xf numFmtId="0" fontId="15" fillId="3" borderId="0" xfId="0" applyFont="1" applyFill="1" applyAlignment="1">
      <alignment vertical="center"/>
    </xf>
    <xf numFmtId="2" fontId="4" fillId="3" borderId="0" xfId="3" applyNumberFormat="1" applyFont="1" applyFill="1" applyAlignment="1" applyProtection="1">
      <alignment vertical="center"/>
    </xf>
    <xf numFmtId="177" fontId="4" fillId="3" borderId="0" xfId="2" applyNumberFormat="1" applyFont="1" applyFill="1" applyAlignment="1" applyProtection="1">
      <alignment vertical="center"/>
    </xf>
    <xf numFmtId="0" fontId="21" fillId="0" borderId="0" xfId="0" applyFont="1"/>
    <xf numFmtId="0" fontId="22" fillId="0" borderId="0" xfId="0" applyFont="1" applyAlignment="1">
      <alignment horizontal="right" vertical="center"/>
    </xf>
    <xf numFmtId="58" fontId="15" fillId="0" borderId="0" xfId="0" applyNumberFormat="1" applyFont="1" applyAlignment="1" applyProtection="1">
      <alignment horizontal="center" vertical="center"/>
      <protection locked="0"/>
    </xf>
    <xf numFmtId="178" fontId="1" fillId="0" borderId="0" xfId="0" applyNumberFormat="1" applyFont="1" applyAlignment="1">
      <alignment vertical="center"/>
    </xf>
    <xf numFmtId="0" fontId="23" fillId="0" borderId="0" xfId="0" applyFont="1" applyAlignment="1">
      <alignment horizontal="right" vertical="center"/>
    </xf>
    <xf numFmtId="0" fontId="24" fillId="0" borderId="0" xfId="0" applyFont="1"/>
    <xf numFmtId="0" fontId="0" fillId="0" borderId="0" xfId="0" applyAlignment="1">
      <alignment wrapText="1"/>
    </xf>
    <xf numFmtId="0" fontId="25" fillId="5" borderId="0" xfId="50" applyFont="1" applyFill="1"/>
    <xf numFmtId="0" fontId="25" fillId="0" borderId="0" xfId="50" applyFont="1" applyAlignment="1">
      <alignment vertical="center"/>
    </xf>
    <xf numFmtId="0" fontId="25" fillId="0" borderId="0" xfId="50" applyFont="1"/>
    <xf numFmtId="0" fontId="26" fillId="5" borderId="0" xfId="50" applyFont="1" applyFill="1"/>
    <xf numFmtId="0" fontId="27" fillId="0" borderId="0" xfId="50" applyFont="1"/>
    <xf numFmtId="0" fontId="28" fillId="0" borderId="0" xfId="50" applyFont="1"/>
    <xf numFmtId="0" fontId="26" fillId="0" borderId="0" xfId="50" applyFont="1"/>
    <xf numFmtId="0" fontId="25" fillId="5" borderId="0" xfId="50" applyFont="1" applyFill="1" applyAlignment="1">
      <alignment vertical="center"/>
    </xf>
    <xf numFmtId="0" fontId="29" fillId="6" borderId="4" xfId="50" applyFont="1" applyFill="1" applyBorder="1" applyAlignment="1">
      <alignment horizontal="left" vertical="center" indent="1"/>
    </xf>
    <xf numFmtId="0" fontId="25" fillId="0" borderId="5" xfId="50" applyFont="1" applyBorder="1" applyAlignment="1">
      <alignment horizontal="left" vertical="center" indent="1"/>
    </xf>
    <xf numFmtId="0" fontId="25" fillId="0" borderId="6" xfId="50" applyFont="1" applyBorder="1" applyAlignment="1">
      <alignment horizontal="left" vertical="center" indent="1"/>
    </xf>
    <xf numFmtId="0" fontId="25" fillId="6" borderId="6" xfId="50" applyFont="1" applyFill="1" applyBorder="1" applyAlignment="1">
      <alignment horizontal="left" vertical="center" indent="1"/>
    </xf>
    <xf numFmtId="0" fontId="30" fillId="0" borderId="7" xfId="50" applyFont="1" applyBorder="1" applyAlignment="1">
      <alignment vertical="center"/>
    </xf>
    <xf numFmtId="0" fontId="25" fillId="6" borderId="5" xfId="50" applyFont="1" applyFill="1" applyBorder="1" applyAlignment="1">
      <alignment horizontal="left" vertical="center" indent="1"/>
    </xf>
    <xf numFmtId="0" fontId="29" fillId="0" borderId="7" xfId="50" applyFont="1" applyBorder="1" applyAlignment="1">
      <alignment vertical="center"/>
    </xf>
    <xf numFmtId="0" fontId="29" fillId="6" borderId="7" xfId="50" applyFont="1" applyFill="1" applyBorder="1" applyAlignment="1">
      <alignment vertical="center"/>
    </xf>
    <xf numFmtId="0" fontId="25" fillId="6" borderId="8" xfId="50" applyFont="1" applyFill="1" applyBorder="1" applyAlignment="1">
      <alignment horizontal="left" vertical="center" indent="1"/>
    </xf>
    <xf numFmtId="0" fontId="25" fillId="6" borderId="9" xfId="50" applyFont="1" applyFill="1" applyBorder="1" applyAlignment="1">
      <alignment horizontal="left" vertical="center" indent="1"/>
    </xf>
    <xf numFmtId="0" fontId="30" fillId="6" borderId="4" xfId="50" applyFont="1" applyFill="1" applyBorder="1" applyAlignment="1">
      <alignment horizontal="left" vertical="center" indent="1"/>
    </xf>
    <xf numFmtId="0" fontId="29" fillId="6" borderId="10" xfId="50" applyFont="1" applyFill="1" applyBorder="1" applyAlignment="1">
      <alignment horizontal="left" vertical="center" indent="1"/>
    </xf>
    <xf numFmtId="0" fontId="25" fillId="6" borderId="0" xfId="50" applyFont="1" applyFill="1"/>
    <xf numFmtId="0" fontId="28" fillId="0" borderId="0" xfId="50" applyFont="1" applyAlignment="1">
      <alignment horizontal="left" vertical="center"/>
    </xf>
    <xf numFmtId="0" fontId="31" fillId="7" borderId="0" xfId="50" applyFont="1" applyFill="1" applyAlignment="1">
      <alignment horizontal="center" vertical="center"/>
    </xf>
    <xf numFmtId="179" fontId="25" fillId="6" borderId="11" xfId="50" applyNumberFormat="1" applyFont="1" applyFill="1" applyBorder="1" applyAlignment="1">
      <alignment vertical="center"/>
    </xf>
    <xf numFmtId="179" fontId="25" fillId="5" borderId="5" xfId="50" applyNumberFormat="1" applyFont="1" applyFill="1" applyBorder="1" applyAlignment="1">
      <alignment vertical="center"/>
    </xf>
    <xf numFmtId="179" fontId="25" fillId="5" borderId="6" xfId="50" applyNumberFormat="1" applyFont="1" applyFill="1" applyBorder="1" applyAlignment="1">
      <alignment vertical="center"/>
    </xf>
    <xf numFmtId="179" fontId="25" fillId="0" borderId="0" xfId="50" applyNumberFormat="1" applyFont="1" applyAlignment="1">
      <alignment vertical="center"/>
    </xf>
    <xf numFmtId="0" fontId="25" fillId="0" borderId="7" xfId="50" applyFont="1" applyBorder="1" applyAlignment="1">
      <alignment vertical="center"/>
    </xf>
    <xf numFmtId="179" fontId="25" fillId="6" borderId="7" xfId="50" applyNumberFormat="1" applyFont="1" applyFill="1" applyBorder="1" applyAlignment="1">
      <alignment vertical="center"/>
    </xf>
    <xf numFmtId="179" fontId="25" fillId="5" borderId="0" xfId="50" applyNumberFormat="1" applyFont="1" applyFill="1" applyAlignment="1">
      <alignment vertical="center"/>
    </xf>
    <xf numFmtId="179" fontId="25" fillId="6" borderId="4" xfId="50" applyNumberFormat="1" applyFont="1" applyFill="1" applyBorder="1" applyAlignment="1">
      <alignment vertical="center"/>
    </xf>
    <xf numFmtId="179" fontId="25" fillId="5" borderId="8" xfId="50" applyNumberFormat="1" applyFont="1" applyFill="1" applyBorder="1" applyAlignment="1">
      <alignment vertical="center"/>
    </xf>
    <xf numFmtId="0" fontId="25" fillId="0" borderId="2" xfId="50" applyFont="1" applyBorder="1" applyAlignment="1">
      <alignment vertical="center"/>
    </xf>
    <xf numFmtId="179" fontId="25" fillId="6" borderId="9" xfId="50" applyNumberFormat="1" applyFont="1" applyFill="1" applyBorder="1" applyAlignment="1">
      <alignment vertical="center"/>
    </xf>
    <xf numFmtId="0" fontId="25" fillId="6" borderId="10" xfId="50" applyFont="1" applyFill="1" applyBorder="1" applyAlignment="1">
      <alignment vertical="center"/>
    </xf>
    <xf numFmtId="179" fontId="25" fillId="8" borderId="12" xfId="50" applyNumberFormat="1" applyFont="1" applyFill="1" applyBorder="1" applyAlignment="1">
      <alignment vertical="center"/>
    </xf>
    <xf numFmtId="0" fontId="25" fillId="3" borderId="0" xfId="50" applyFont="1" applyFill="1"/>
    <xf numFmtId="0" fontId="28" fillId="0" borderId="0" xfId="50" applyFont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V42-Blue2">
      <a:dk1>
        <a:sysClr val="windowText" lastClr="000000"/>
      </a:dk1>
      <a:lt1>
        <a:sysClr val="window" lastClr="FFFFFF"/>
      </a:lt1>
      <a:dk2>
        <a:srgbClr val="5E8BCE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680"/>
  <sheetViews>
    <sheetView showGridLines="0" workbookViewId="0">
      <pane ySplit="7" topLeftCell="A8" activePane="bottomLeft" state="frozen"/>
      <selection/>
      <selection pane="bottomLeft" activeCell="H3" sqref="H3"/>
    </sheetView>
  </sheetViews>
  <sheetFormatPr defaultColWidth="11" defaultRowHeight="17.6"/>
  <cols>
    <col min="1" max="1" width="20.8359375" style="50" customWidth="1"/>
    <col min="2" max="2" width="5.8359375" style="52" customWidth="1"/>
    <col min="3" max="3" width="2.8359375" style="52" customWidth="1"/>
    <col min="4" max="4" width="41.5" style="52" customWidth="1"/>
    <col min="5" max="5" width="3.8359375" style="52" customWidth="1"/>
    <col min="6" max="8" width="20.8359375" style="52" customWidth="1"/>
    <col min="9" max="9" width="5.8359375" style="52" customWidth="1"/>
    <col min="10" max="97" width="11" style="50"/>
    <col min="98" max="16384" width="11" style="52"/>
  </cols>
  <sheetData>
    <row r="1" s="50" customFormat="1" spans="3:8">
      <c r="C1" s="53"/>
      <c r="D1" s="53"/>
      <c r="E1" s="53"/>
      <c r="F1" s="53"/>
      <c r="G1" s="53"/>
      <c r="H1" s="53"/>
    </row>
    <row r="2" spans="98:98">
      <c r="CT2" s="50"/>
    </row>
    <row r="3" ht="37.2" spans="4:98">
      <c r="D3" s="54" t="s">
        <v>0</v>
      </c>
      <c r="H3" s="71"/>
      <c r="CT3" s="50"/>
    </row>
    <row r="4" ht="20.4" spans="4:98">
      <c r="D4" s="87" t="s">
        <v>1</v>
      </c>
      <c r="CT4" s="50"/>
    </row>
    <row r="5" spans="98:98">
      <c r="CT5" s="50"/>
    </row>
    <row r="6" spans="3:8">
      <c r="C6" s="56"/>
      <c r="D6" s="56"/>
      <c r="E6" s="56"/>
      <c r="F6" s="56"/>
      <c r="G6" s="56"/>
      <c r="H6" s="56"/>
    </row>
    <row r="7" s="51" customFormat="1" spans="1:97">
      <c r="A7" s="57"/>
      <c r="F7" s="72">
        <v>2025</v>
      </c>
      <c r="G7" s="72">
        <v>2024</v>
      </c>
      <c r="H7" s="72">
        <v>2023</v>
      </c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</row>
    <row r="8" s="51" customFormat="1" ht="21.15" spans="1:97">
      <c r="A8" s="57"/>
      <c r="C8" s="58" t="s">
        <v>2</v>
      </c>
      <c r="D8" s="58"/>
      <c r="E8" s="58"/>
      <c r="F8" s="73"/>
      <c r="G8" s="73"/>
      <c r="H8" s="73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</row>
    <row r="9" s="51" customFormat="1" spans="1:97">
      <c r="A9" s="57"/>
      <c r="D9" s="59" t="s">
        <v>3</v>
      </c>
      <c r="F9" s="74"/>
      <c r="G9" s="74"/>
      <c r="H9" s="74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</row>
    <row r="10" s="51" customFormat="1" spans="1:97">
      <c r="A10" s="57"/>
      <c r="D10" s="60" t="s">
        <v>4</v>
      </c>
      <c r="F10" s="75"/>
      <c r="G10" s="75"/>
      <c r="H10" s="75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</row>
    <row r="11" s="51" customFormat="1" spans="1:97">
      <c r="A11" s="57"/>
      <c r="D11" s="61" t="s">
        <v>5</v>
      </c>
      <c r="F11" s="75"/>
      <c r="G11" s="75"/>
      <c r="H11" s="75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</row>
    <row r="12" s="51" customFormat="1" spans="1:97">
      <c r="A12" s="57"/>
      <c r="F12" s="76"/>
      <c r="G12" s="76"/>
      <c r="H12" s="76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</row>
    <row r="13" s="51" customFormat="1" ht="20.4" spans="1:97">
      <c r="A13" s="57"/>
      <c r="D13" s="62" t="s">
        <v>6</v>
      </c>
      <c r="E13" s="77"/>
      <c r="F13" s="78">
        <f>SUM(F9:F12)</f>
        <v>0</v>
      </c>
      <c r="G13" s="78">
        <f t="shared" ref="G13:H13" si="0">SUM(G9:G12)</f>
        <v>0</v>
      </c>
      <c r="H13" s="78">
        <f t="shared" si="0"/>
        <v>0</v>
      </c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</row>
    <row r="14" s="51" customFormat="1" spans="1:97">
      <c r="A14" s="57"/>
      <c r="F14" s="76"/>
      <c r="G14" s="76"/>
      <c r="H14" s="76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</row>
    <row r="15" s="51" customFormat="1" ht="21.15" spans="1:97">
      <c r="A15" s="57"/>
      <c r="C15" s="58" t="s">
        <v>7</v>
      </c>
      <c r="D15" s="58"/>
      <c r="E15" s="58"/>
      <c r="F15" s="73"/>
      <c r="G15" s="73"/>
      <c r="H15" s="73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</row>
    <row r="16" s="51" customFormat="1" spans="1:97">
      <c r="A16" s="57"/>
      <c r="D16" s="63" t="s">
        <v>8</v>
      </c>
      <c r="F16" s="79"/>
      <c r="G16" s="79"/>
      <c r="H16" s="79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</row>
    <row r="17" s="51" customFormat="1" spans="1:97">
      <c r="A17" s="57"/>
      <c r="D17" s="61" t="s">
        <v>9</v>
      </c>
      <c r="F17" s="75"/>
      <c r="G17" s="75"/>
      <c r="H17" s="75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</row>
    <row r="18" s="51" customFormat="1" spans="1:97">
      <c r="A18" s="57"/>
      <c r="D18" s="61" t="s">
        <v>10</v>
      </c>
      <c r="F18" s="75"/>
      <c r="G18" s="75"/>
      <c r="H18" s="75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</row>
    <row r="19" s="51" customFormat="1" spans="1:97">
      <c r="A19" s="57"/>
      <c r="D19" s="61" t="s">
        <v>11</v>
      </c>
      <c r="F19" s="75"/>
      <c r="G19" s="75"/>
      <c r="H19" s="75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</row>
    <row r="20" s="51" customFormat="1" spans="1:97">
      <c r="A20" s="57"/>
      <c r="F20" s="76"/>
      <c r="G20" s="76"/>
      <c r="H20" s="76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</row>
    <row r="21" s="51" customFormat="1" ht="20.4" spans="1:97">
      <c r="A21" s="57"/>
      <c r="D21" s="64" t="s">
        <v>12</v>
      </c>
      <c r="E21" s="77"/>
      <c r="F21" s="78">
        <f>SUM(F16:F20)</f>
        <v>0</v>
      </c>
      <c r="G21" s="78">
        <f t="shared" ref="G21:H21" si="1">SUM(G16:G20)</f>
        <v>0</v>
      </c>
      <c r="H21" s="78">
        <f t="shared" si="1"/>
        <v>0</v>
      </c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</row>
    <row r="22" s="51" customFormat="1" spans="1:97">
      <c r="A22" s="57"/>
      <c r="F22" s="76"/>
      <c r="G22" s="76"/>
      <c r="H22" s="76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</row>
    <row r="23" s="51" customFormat="1" ht="20.4" spans="1:97">
      <c r="A23" s="57"/>
      <c r="D23" s="65" t="s">
        <v>13</v>
      </c>
      <c r="E23" s="77"/>
      <c r="F23" s="78">
        <f>+F13+F21</f>
        <v>0</v>
      </c>
      <c r="G23" s="78">
        <f t="shared" ref="G23:H23" si="2">+G13+G21</f>
        <v>0</v>
      </c>
      <c r="H23" s="78">
        <f t="shared" si="2"/>
        <v>0</v>
      </c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</row>
    <row r="24" s="51" customFormat="1" spans="1:97">
      <c r="A24" s="57"/>
      <c r="F24" s="76"/>
      <c r="G24" s="76"/>
      <c r="H24" s="76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</row>
    <row r="25" s="51" customFormat="1" ht="21.15" spans="1:97">
      <c r="A25" s="57"/>
      <c r="C25" s="58" t="s">
        <v>14</v>
      </c>
      <c r="D25" s="58"/>
      <c r="E25" s="58"/>
      <c r="F25" s="73"/>
      <c r="G25" s="73"/>
      <c r="H25" s="73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</row>
    <row r="26" s="51" customFormat="1" spans="1:97">
      <c r="A26" s="57"/>
      <c r="D26" s="59" t="s">
        <v>15</v>
      </c>
      <c r="F26" s="74"/>
      <c r="G26" s="74"/>
      <c r="H26" s="74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</row>
    <row r="27" s="51" customFormat="1" spans="1:97">
      <c r="A27" s="57"/>
      <c r="D27" s="60" t="s">
        <v>16</v>
      </c>
      <c r="F27" s="75"/>
      <c r="G27" s="75"/>
      <c r="H27" s="75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</row>
    <row r="28" s="51" customFormat="1" spans="1:97">
      <c r="A28" s="57"/>
      <c r="D28" s="60" t="s">
        <v>17</v>
      </c>
      <c r="F28" s="75"/>
      <c r="G28" s="75"/>
      <c r="H28" s="75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</row>
    <row r="29" s="51" customFormat="1" spans="1:97">
      <c r="A29" s="57"/>
      <c r="D29" s="60" t="s">
        <v>18</v>
      </c>
      <c r="F29" s="75"/>
      <c r="G29" s="75"/>
      <c r="H29" s="75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</row>
    <row r="30" s="51" customFormat="1" spans="1:97">
      <c r="A30" s="57"/>
      <c r="D30" s="60" t="s">
        <v>19</v>
      </c>
      <c r="F30" s="75"/>
      <c r="G30" s="75"/>
      <c r="H30" s="75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</row>
    <row r="31" s="51" customFormat="1" spans="1:97">
      <c r="A31" s="57"/>
      <c r="D31" s="60" t="s">
        <v>20</v>
      </c>
      <c r="F31" s="75"/>
      <c r="G31" s="75"/>
      <c r="H31" s="75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</row>
    <row r="32" s="51" customFormat="1" spans="1:97">
      <c r="A32" s="57"/>
      <c r="D32" s="61" t="s">
        <v>21</v>
      </c>
      <c r="F32" s="75"/>
      <c r="G32" s="75"/>
      <c r="H32" s="75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</row>
    <row r="33" s="51" customFormat="1" spans="1:97">
      <c r="A33" s="57"/>
      <c r="D33" s="60" t="s">
        <v>22</v>
      </c>
      <c r="F33" s="75"/>
      <c r="G33" s="75"/>
      <c r="H33" s="75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</row>
    <row r="34" s="51" customFormat="1" spans="1:97">
      <c r="A34" s="57"/>
      <c r="D34" s="60" t="s">
        <v>23</v>
      </c>
      <c r="F34" s="75"/>
      <c r="G34" s="75"/>
      <c r="H34" s="75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</row>
    <row r="35" s="51" customFormat="1" spans="1:97">
      <c r="A35" s="57"/>
      <c r="D35" s="60" t="s">
        <v>24</v>
      </c>
      <c r="F35" s="75"/>
      <c r="G35" s="75"/>
      <c r="H35" s="75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</row>
    <row r="36" s="51" customFormat="1" spans="1:97">
      <c r="A36" s="57"/>
      <c r="D36" s="60" t="s">
        <v>25</v>
      </c>
      <c r="F36" s="75"/>
      <c r="G36" s="75"/>
      <c r="H36" s="75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</row>
    <row r="37" s="51" customFormat="1" spans="1:97">
      <c r="A37" s="57"/>
      <c r="D37" s="60" t="s">
        <v>26</v>
      </c>
      <c r="F37" s="75"/>
      <c r="G37" s="75"/>
      <c r="H37" s="75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</row>
    <row r="38" s="51" customFormat="1" spans="1:97">
      <c r="A38" s="57"/>
      <c r="D38" s="60" t="s">
        <v>27</v>
      </c>
      <c r="F38" s="75"/>
      <c r="G38" s="75"/>
      <c r="H38" s="7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</row>
    <row r="39" s="51" customFormat="1" spans="1:97">
      <c r="A39" s="57"/>
      <c r="D39" s="60" t="s">
        <v>28</v>
      </c>
      <c r="F39" s="75"/>
      <c r="G39" s="75"/>
      <c r="H39" s="75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</row>
    <row r="40" s="51" customFormat="1" spans="1:97">
      <c r="A40" s="57"/>
      <c r="D40" s="60" t="s">
        <v>29</v>
      </c>
      <c r="F40" s="75"/>
      <c r="G40" s="75"/>
      <c r="H40" s="75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</row>
    <row r="41" s="51" customFormat="1" spans="1:97">
      <c r="A41" s="57"/>
      <c r="D41" s="60" t="s">
        <v>30</v>
      </c>
      <c r="F41" s="75"/>
      <c r="G41" s="75"/>
      <c r="H41" s="75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</row>
    <row r="42" s="51" customFormat="1" spans="1:97">
      <c r="A42" s="57"/>
      <c r="D42" s="60" t="s">
        <v>31</v>
      </c>
      <c r="F42" s="75"/>
      <c r="G42" s="75"/>
      <c r="H42" s="75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</row>
    <row r="43" s="51" customFormat="1" spans="1:97">
      <c r="A43" s="57"/>
      <c r="D43" s="60" t="s">
        <v>32</v>
      </c>
      <c r="F43" s="75"/>
      <c r="G43" s="75"/>
      <c r="H43" s="75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</row>
    <row r="44" s="51" customFormat="1" spans="1:97">
      <c r="A44" s="57"/>
      <c r="D44" s="60" t="s">
        <v>33</v>
      </c>
      <c r="F44" s="75"/>
      <c r="G44" s="75"/>
      <c r="H44" s="75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</row>
    <row r="45" s="51" customFormat="1" spans="1:97">
      <c r="A45" s="57"/>
      <c r="D45" s="60" t="s">
        <v>34</v>
      </c>
      <c r="F45" s="75"/>
      <c r="G45" s="75"/>
      <c r="H45" s="75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</row>
    <row r="46" s="51" customFormat="1" spans="1:97">
      <c r="A46" s="57"/>
      <c r="F46" s="76"/>
      <c r="G46" s="76"/>
      <c r="H46" s="76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</row>
    <row r="47" s="51" customFormat="1" ht="20.4" spans="1:97">
      <c r="A47" s="57"/>
      <c r="D47" s="64" t="s">
        <v>35</v>
      </c>
      <c r="E47" s="77"/>
      <c r="F47" s="78">
        <f>SUM(F26:F46)</f>
        <v>0</v>
      </c>
      <c r="G47" s="78">
        <f>SUM(G26:G46)</f>
        <v>0</v>
      </c>
      <c r="H47" s="78">
        <f>SUM(H26:H46)</f>
        <v>0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</row>
    <row r="48" s="51" customFormat="1" spans="1:97">
      <c r="A48" s="57"/>
      <c r="F48" s="76"/>
      <c r="G48" s="76"/>
      <c r="H48" s="76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</row>
    <row r="49" s="51" customFormat="1" ht="21.15" spans="1:97">
      <c r="A49" s="57"/>
      <c r="C49" s="58" t="s">
        <v>36</v>
      </c>
      <c r="D49" s="58"/>
      <c r="E49" s="58"/>
      <c r="F49" s="80">
        <f>+F23+F47</f>
        <v>0</v>
      </c>
      <c r="G49" s="80">
        <f>+G23+G47</f>
        <v>0</v>
      </c>
      <c r="H49" s="80">
        <f>+H23+H47</f>
        <v>0</v>
      </c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</row>
    <row r="50" s="51" customFormat="1" spans="1:97">
      <c r="A50" s="57"/>
      <c r="D50" s="63" t="s">
        <v>37</v>
      </c>
      <c r="F50" s="74"/>
      <c r="G50" s="74"/>
      <c r="H50" s="74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</row>
    <row r="51" s="51" customFormat="1" spans="1:97">
      <c r="A51" s="57"/>
      <c r="D51" s="66" t="s">
        <v>38</v>
      </c>
      <c r="F51" s="81"/>
      <c r="G51" s="81"/>
      <c r="H51" s="81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</row>
    <row r="52" s="51" customFormat="1" spans="1:97">
      <c r="A52" s="57"/>
      <c r="D52" s="67" t="s">
        <v>39</v>
      </c>
      <c r="E52" s="82"/>
      <c r="F52" s="83">
        <f>+F49+F50+F51</f>
        <v>0</v>
      </c>
      <c r="G52" s="83">
        <f t="shared" ref="G52:H52" si="3">+G49+G50+G51</f>
        <v>0</v>
      </c>
      <c r="H52" s="83">
        <f t="shared" si="3"/>
        <v>0</v>
      </c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</row>
    <row r="53" s="51" customFormat="1" spans="1:97">
      <c r="A53" s="57"/>
      <c r="D53" s="61" t="s">
        <v>40</v>
      </c>
      <c r="F53" s="75"/>
      <c r="G53" s="75"/>
      <c r="H53" s="75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</row>
    <row r="54" s="51" customFormat="1" spans="1:97">
      <c r="A54" s="57"/>
      <c r="F54" s="76"/>
      <c r="G54" s="76"/>
      <c r="H54" s="76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</row>
    <row r="55" s="51" customFormat="1" ht="20.4" spans="1:97">
      <c r="A55" s="57"/>
      <c r="D55" s="62" t="s">
        <v>41</v>
      </c>
      <c r="E55" s="77"/>
      <c r="F55" s="78">
        <f>+F52+F53</f>
        <v>0</v>
      </c>
      <c r="G55" s="78">
        <f t="shared" ref="G55:H55" si="4">+G52+G53</f>
        <v>0</v>
      </c>
      <c r="H55" s="78">
        <f t="shared" si="4"/>
        <v>0</v>
      </c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</row>
    <row r="56" s="51" customFormat="1" spans="1:97">
      <c r="A56" s="57"/>
      <c r="F56" s="76"/>
      <c r="G56" s="76"/>
      <c r="H56" s="76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</row>
    <row r="57" s="51" customFormat="1" ht="21.15" spans="1:97">
      <c r="A57" s="57"/>
      <c r="C57" s="68" t="s">
        <v>42</v>
      </c>
      <c r="D57" s="68"/>
      <c r="E57" s="68"/>
      <c r="F57" s="73"/>
      <c r="G57" s="73"/>
      <c r="H57" s="73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</row>
    <row r="58" s="51" customFormat="1" spans="1:97">
      <c r="A58" s="57"/>
      <c r="D58" s="59" t="s">
        <v>43</v>
      </c>
      <c r="F58" s="74"/>
      <c r="G58" s="74">
        <v>0</v>
      </c>
      <c r="H58" s="74">
        <v>0</v>
      </c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</row>
    <row r="59" s="51" customFormat="1" spans="1:97">
      <c r="A59" s="57"/>
      <c r="D59" s="60" t="s">
        <v>44</v>
      </c>
      <c r="F59" s="75"/>
      <c r="G59" s="75">
        <v>0</v>
      </c>
      <c r="H59" s="75">
        <v>0</v>
      </c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</row>
    <row r="60" s="51" customFormat="1" spans="1:97">
      <c r="A60" s="57"/>
      <c r="D60" s="60" t="s">
        <v>45</v>
      </c>
      <c r="F60" s="75"/>
      <c r="G60" s="75">
        <v>0</v>
      </c>
      <c r="H60" s="75">
        <v>0</v>
      </c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</row>
    <row r="61" s="51" customFormat="1" spans="1:97">
      <c r="A61" s="57"/>
      <c r="F61" s="76"/>
      <c r="G61" s="76"/>
      <c r="H61" s="76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</row>
    <row r="62" s="51" customFormat="1" ht="21.15" spans="1:97">
      <c r="A62" s="57"/>
      <c r="C62" s="69" t="s">
        <v>46</v>
      </c>
      <c r="D62" s="69"/>
      <c r="E62" s="84"/>
      <c r="F62" s="85">
        <f>+F55+SUM(F58:F61)</f>
        <v>0</v>
      </c>
      <c r="G62" s="85">
        <f t="shared" ref="G62:H62" si="5">+G55+SUM(G58:G61)</f>
        <v>0</v>
      </c>
      <c r="H62" s="85">
        <f t="shared" si="5"/>
        <v>0</v>
      </c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</row>
    <row r="64" spans="3:8">
      <c r="C64" s="70"/>
      <c r="D64" s="70"/>
      <c r="E64" s="70"/>
      <c r="F64" s="70"/>
      <c r="G64" s="70"/>
      <c r="H64" s="70"/>
    </row>
    <row r="65" spans="3:8">
      <c r="C65" s="70"/>
      <c r="D65" s="70"/>
      <c r="E65" s="70"/>
      <c r="F65" s="70"/>
      <c r="G65" s="70"/>
      <c r="H65" s="70"/>
    </row>
    <row r="66" spans="3:8">
      <c r="C66" s="70"/>
      <c r="D66" s="70"/>
      <c r="E66" s="70"/>
      <c r="F66" s="70"/>
      <c r="G66" s="70"/>
      <c r="H66" s="70"/>
    </row>
    <row r="67" spans="3:8">
      <c r="C67" s="70"/>
      <c r="D67" s="70"/>
      <c r="E67" s="70"/>
      <c r="F67" s="70"/>
      <c r="G67" s="70"/>
      <c r="H67" s="70"/>
    </row>
    <row r="68" spans="1:12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</row>
    <row r="69" spans="1:1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</row>
    <row r="70" s="50" customFormat="1"/>
    <row r="71" s="50" customFormat="1"/>
    <row r="72" s="50" customFormat="1"/>
    <row r="73" s="50" customFormat="1"/>
    <row r="74" s="50" customFormat="1"/>
    <row r="75" s="50" customFormat="1"/>
    <row r="76" s="50" customFormat="1"/>
    <row r="77" s="50" customFormat="1"/>
    <row r="78" s="50" customFormat="1"/>
    <row r="79" s="50" customFormat="1"/>
    <row r="80" s="50" customFormat="1"/>
    <row r="81" s="50" customFormat="1"/>
    <row r="82" s="50" customFormat="1"/>
    <row r="83" s="50" customFormat="1"/>
    <row r="84" s="50" customFormat="1"/>
    <row r="85" s="50" customFormat="1"/>
    <row r="86" s="50" customFormat="1"/>
    <row r="87" s="50" customFormat="1"/>
    <row r="88" s="50" customFormat="1"/>
    <row r="89" s="50" customFormat="1"/>
    <row r="90" s="50" customFormat="1"/>
    <row r="91" s="50" customFormat="1"/>
    <row r="92" s="50" customFormat="1"/>
    <row r="93" s="50" customFormat="1"/>
    <row r="94" s="50" customFormat="1"/>
    <row r="95" s="50" customFormat="1"/>
    <row r="96" s="50" customFormat="1"/>
    <row r="97" s="50" customFormat="1"/>
    <row r="98" s="50" customFormat="1"/>
    <row r="99" s="50" customFormat="1"/>
    <row r="100" s="50" customFormat="1"/>
    <row r="101" s="50" customFormat="1"/>
    <row r="102" s="50" customFormat="1"/>
    <row r="103" s="50" customFormat="1"/>
    <row r="104" s="50" customFormat="1"/>
    <row r="105" s="50" customFormat="1"/>
    <row r="106" s="50" customFormat="1"/>
    <row r="107" s="50" customFormat="1"/>
    <row r="108" s="50" customFormat="1"/>
    <row r="109" s="50" customFormat="1"/>
    <row r="110" s="50" customFormat="1"/>
    <row r="111" s="50" customFormat="1"/>
    <row r="112" s="50" customFormat="1"/>
    <row r="113" s="50" customFormat="1"/>
    <row r="114" s="50" customFormat="1"/>
    <row r="115" s="50" customFormat="1"/>
    <row r="116" s="50" customFormat="1"/>
    <row r="117" s="50" customFormat="1"/>
    <row r="118" s="50" customFormat="1"/>
    <row r="119" s="50" customFormat="1"/>
    <row r="120" s="50" customFormat="1"/>
    <row r="121" s="50" customFormat="1"/>
    <row r="122" s="50" customFormat="1"/>
    <row r="123" s="50" customFormat="1"/>
    <row r="124" s="50" customFormat="1"/>
    <row r="125" s="50" customFormat="1"/>
    <row r="126" s="50" customFormat="1"/>
    <row r="127" s="50" customFormat="1"/>
    <row r="128" s="50" customFormat="1"/>
    <row r="129" s="50" customFormat="1"/>
    <row r="130" s="50" customFormat="1"/>
    <row r="131" s="50" customFormat="1"/>
    <row r="132" s="50" customFormat="1"/>
    <row r="133" s="50" customFormat="1"/>
    <row r="134" s="50" customFormat="1"/>
    <row r="135" s="50" customFormat="1"/>
    <row r="136" s="50" customFormat="1"/>
    <row r="137" s="50" customFormat="1"/>
    <row r="138" s="50" customFormat="1"/>
    <row r="139" s="50" customFormat="1"/>
    <row r="140" s="50" customFormat="1"/>
    <row r="141" s="50" customFormat="1"/>
    <row r="142" s="50" customFormat="1"/>
    <row r="143" s="50" customFormat="1"/>
    <row r="144" s="50" customFormat="1"/>
    <row r="145" s="50" customFormat="1"/>
    <row r="146" s="50" customFormat="1"/>
    <row r="147" s="50" customFormat="1"/>
    <row r="148" s="50" customFormat="1"/>
    <row r="149" s="50" customFormat="1"/>
    <row r="150" s="50" customFormat="1"/>
    <row r="151" s="50" customFormat="1"/>
    <row r="152" s="50" customFormat="1"/>
    <row r="153" s="50" customFormat="1"/>
    <row r="154" s="50" customFormat="1"/>
    <row r="155" s="50" customFormat="1"/>
    <row r="156" s="50" customFormat="1"/>
    <row r="157" s="50" customFormat="1"/>
    <row r="158" s="50" customFormat="1"/>
    <row r="159" s="50" customFormat="1"/>
    <row r="160" s="50" customFormat="1"/>
    <row r="161" s="50" customFormat="1"/>
    <row r="162" s="50" customFormat="1"/>
    <row r="163" s="50" customFormat="1"/>
    <row r="164" s="50" customFormat="1"/>
    <row r="165" s="50" customFormat="1"/>
    <row r="166" s="50" customFormat="1"/>
    <row r="167" s="50" customFormat="1"/>
    <row r="168" s="50" customFormat="1"/>
    <row r="169" s="50" customFormat="1"/>
    <row r="170" s="50" customFormat="1"/>
    <row r="171" s="50" customFormat="1"/>
    <row r="172" s="50" customFormat="1"/>
    <row r="173" s="50" customFormat="1"/>
    <row r="174" s="50" customFormat="1"/>
    <row r="175" s="50" customFormat="1"/>
    <row r="176" s="50" customFormat="1"/>
    <row r="177" s="50" customFormat="1"/>
    <row r="178" s="50" customFormat="1"/>
    <row r="179" s="50" customFormat="1"/>
    <row r="180" s="50" customFormat="1"/>
    <row r="181" s="50" customFormat="1"/>
    <row r="182" s="50" customFormat="1"/>
    <row r="183" s="50" customFormat="1"/>
    <row r="184" s="50" customFormat="1"/>
    <row r="185" s="50" customFormat="1"/>
    <row r="186" s="50" customFormat="1"/>
    <row r="187" s="50" customFormat="1"/>
    <row r="188" s="50" customFormat="1"/>
    <row r="189" s="50" customFormat="1"/>
    <row r="190" s="50" customFormat="1"/>
    <row r="191" s="50" customFormat="1"/>
    <row r="192" s="50" customFormat="1"/>
    <row r="193" s="50" customFormat="1"/>
    <row r="194" s="50" customFormat="1"/>
    <row r="195" s="50" customFormat="1"/>
    <row r="196" s="50" customFormat="1"/>
    <row r="197" s="50" customFormat="1"/>
    <row r="198" s="50" customFormat="1"/>
    <row r="199" s="50" customFormat="1"/>
    <row r="200" s="50" customFormat="1"/>
    <row r="201" s="50" customFormat="1"/>
    <row r="202" s="50" customFormat="1"/>
    <row r="203" s="50" customFormat="1"/>
    <row r="204" s="50" customFormat="1"/>
    <row r="205" s="50" customFormat="1"/>
    <row r="206" s="50" customFormat="1"/>
    <row r="207" s="50" customFormat="1"/>
    <row r="208" s="50" customFormat="1"/>
    <row r="209" s="50" customFormat="1"/>
    <row r="210" s="50" customFormat="1"/>
    <row r="211" s="50" customFormat="1"/>
    <row r="212" s="50" customFormat="1"/>
    <row r="213" s="50" customFormat="1"/>
    <row r="214" s="50" customFormat="1"/>
    <row r="215" s="50" customFormat="1"/>
    <row r="216" s="50" customFormat="1"/>
    <row r="217" s="50" customFormat="1"/>
    <row r="218" s="50" customFormat="1"/>
    <row r="219" s="50" customFormat="1"/>
    <row r="220" s="50" customFormat="1"/>
    <row r="221" s="50" customFormat="1"/>
    <row r="222" s="50" customFormat="1"/>
    <row r="223" s="50" customFormat="1"/>
    <row r="224" s="50" customFormat="1"/>
    <row r="225" s="50" customFormat="1"/>
    <row r="226" s="50" customFormat="1"/>
    <row r="227" s="50" customFormat="1"/>
    <row r="228" s="50" customFormat="1"/>
    <row r="229" s="50" customFormat="1"/>
    <row r="230" s="50" customFormat="1"/>
    <row r="231" s="50" customFormat="1"/>
    <row r="232" s="50" customFormat="1"/>
    <row r="233" s="50" customFormat="1"/>
    <row r="234" s="50" customFormat="1"/>
    <row r="235" s="50" customFormat="1"/>
    <row r="236" s="50" customFormat="1"/>
    <row r="237" s="50" customFormat="1"/>
    <row r="238" s="50" customFormat="1"/>
    <row r="239" s="50" customFormat="1"/>
    <row r="240" s="50" customFormat="1"/>
    <row r="241" s="50" customFormat="1"/>
    <row r="242" s="50" customFormat="1"/>
    <row r="243" s="50" customFormat="1"/>
    <row r="244" s="50" customFormat="1"/>
    <row r="245" s="50" customFormat="1"/>
    <row r="246" s="50" customFormat="1"/>
    <row r="247" s="50" customFormat="1"/>
    <row r="248" s="50" customFormat="1"/>
    <row r="249" s="50" customFormat="1"/>
    <row r="250" s="50" customFormat="1"/>
    <row r="251" s="50" customFormat="1"/>
    <row r="252" s="50" customFormat="1"/>
    <row r="253" s="50" customFormat="1"/>
    <row r="254" s="50" customFormat="1"/>
    <row r="255" s="50" customFormat="1"/>
    <row r="256" s="50" customFormat="1"/>
    <row r="257" s="50" customFormat="1"/>
    <row r="258" s="50" customFormat="1"/>
    <row r="259" s="50" customFormat="1"/>
    <row r="260" s="50" customFormat="1"/>
    <row r="261" s="50" customFormat="1"/>
    <row r="262" s="50" customFormat="1"/>
    <row r="263" s="50" customFormat="1"/>
    <row r="264" s="50" customFormat="1"/>
    <row r="265" s="50" customFormat="1"/>
    <row r="266" s="50" customFormat="1"/>
    <row r="267" s="50" customFormat="1"/>
    <row r="268" s="50" customFormat="1"/>
    <row r="269" s="50" customFormat="1"/>
    <row r="270" s="50" customFormat="1"/>
    <row r="271" s="50" customFormat="1"/>
    <row r="272" s="50" customFormat="1"/>
    <row r="273" s="50" customFormat="1"/>
    <row r="274" s="50" customFormat="1"/>
    <row r="275" s="50" customFormat="1"/>
    <row r="276" s="50" customFormat="1"/>
    <row r="277" s="50" customFormat="1"/>
    <row r="278" s="50" customFormat="1"/>
    <row r="279" s="50" customFormat="1"/>
    <row r="280" s="50" customFormat="1"/>
    <row r="281" s="50" customFormat="1"/>
    <row r="282" s="50" customFormat="1"/>
    <row r="283" s="50" customFormat="1"/>
    <row r="284" s="50" customFormat="1"/>
    <row r="285" s="50" customFormat="1"/>
    <row r="286" s="50" customFormat="1"/>
    <row r="287" s="50" customFormat="1"/>
    <row r="288" s="50" customFormat="1"/>
    <row r="289" s="50" customFormat="1"/>
    <row r="290" s="50" customFormat="1"/>
    <row r="291" s="50" customFormat="1"/>
    <row r="292" s="50" customFormat="1"/>
    <row r="293" s="50" customFormat="1"/>
    <row r="294" s="50" customFormat="1"/>
    <row r="295" s="50" customFormat="1"/>
    <row r="296" s="50" customFormat="1"/>
    <row r="297" s="50" customFormat="1"/>
    <row r="298" s="50" customFormat="1"/>
    <row r="299" s="50" customFormat="1"/>
    <row r="300" s="50" customFormat="1"/>
    <row r="301" s="50" customFormat="1"/>
    <row r="302" s="50" customFormat="1"/>
    <row r="303" s="50" customFormat="1"/>
    <row r="304" s="50" customFormat="1"/>
    <row r="305" s="50" customFormat="1"/>
    <row r="306" s="50" customFormat="1"/>
    <row r="307" s="50" customFormat="1"/>
    <row r="308" s="50" customFormat="1"/>
    <row r="309" s="50" customFormat="1"/>
    <row r="310" s="50" customFormat="1"/>
    <row r="311" s="50" customFormat="1"/>
    <row r="312" s="50" customFormat="1"/>
    <row r="313" s="50" customFormat="1"/>
    <row r="314" s="50" customFormat="1"/>
    <row r="315" s="50" customFormat="1"/>
    <row r="316" s="50" customFormat="1"/>
    <row r="317" s="50" customFormat="1"/>
    <row r="318" s="50" customFormat="1"/>
    <row r="319" s="50" customFormat="1"/>
    <row r="320" s="50" customFormat="1"/>
    <row r="321" s="50" customFormat="1"/>
    <row r="322" s="50" customFormat="1"/>
    <row r="323" s="50" customFormat="1"/>
    <row r="324" s="50" customFormat="1"/>
    <row r="325" s="50" customFormat="1"/>
    <row r="326" s="50" customFormat="1"/>
    <row r="327" s="50" customFormat="1"/>
    <row r="328" s="50" customFormat="1"/>
    <row r="329" s="50" customFormat="1"/>
    <row r="330" s="50" customFormat="1"/>
    <row r="331" s="50" customFormat="1"/>
    <row r="332" s="50" customFormat="1"/>
    <row r="333" s="50" customFormat="1"/>
    <row r="334" s="50" customFormat="1"/>
    <row r="335" s="50" customFormat="1"/>
    <row r="336" s="50" customFormat="1"/>
    <row r="337" s="50" customFormat="1"/>
    <row r="338" s="50" customFormat="1"/>
    <row r="339" s="50" customFormat="1"/>
    <row r="340" s="50" customFormat="1"/>
    <row r="341" s="50" customFormat="1"/>
    <row r="342" s="50" customFormat="1"/>
    <row r="343" s="50" customFormat="1"/>
    <row r="344" s="50" customFormat="1"/>
    <row r="345" s="50" customFormat="1"/>
    <row r="346" s="50" customFormat="1"/>
    <row r="347" s="50" customFormat="1"/>
    <row r="348" s="50" customFormat="1"/>
    <row r="349" s="50" customFormat="1"/>
    <row r="350" s="50" customFormat="1"/>
    <row r="351" s="50" customFormat="1"/>
    <row r="352" s="50" customFormat="1"/>
    <row r="353" s="50" customFormat="1"/>
    <row r="354" s="50" customFormat="1"/>
    <row r="355" s="50" customFormat="1"/>
    <row r="356" s="50" customFormat="1"/>
    <row r="357" s="50" customFormat="1"/>
    <row r="358" s="50" customFormat="1"/>
    <row r="359" s="50" customFormat="1"/>
    <row r="360" s="50" customFormat="1"/>
    <row r="361" s="50" customFormat="1"/>
    <row r="362" s="50" customFormat="1"/>
    <row r="363" s="50" customFormat="1"/>
    <row r="364" s="50" customFormat="1"/>
    <row r="365" s="50" customFormat="1"/>
    <row r="366" s="50" customFormat="1"/>
    <row r="367" s="50" customFormat="1"/>
    <row r="368" s="50" customFormat="1"/>
    <row r="369" s="50" customFormat="1"/>
    <row r="370" s="50" customFormat="1"/>
    <row r="371" s="50" customFormat="1"/>
    <row r="372" s="50" customFormat="1"/>
    <row r="373" s="50" customFormat="1"/>
    <row r="374" s="50" customFormat="1"/>
    <row r="375" s="50" customFormat="1"/>
    <row r="376" s="50" customFormat="1"/>
    <row r="377" s="50" customFormat="1"/>
    <row r="378" s="50" customFormat="1"/>
    <row r="379" s="50" customFormat="1"/>
    <row r="380" s="50" customFormat="1"/>
    <row r="381" s="50" customFormat="1"/>
    <row r="382" s="50" customFormat="1"/>
    <row r="383" s="50" customFormat="1"/>
    <row r="384" s="50" customFormat="1"/>
    <row r="385" s="50" customFormat="1"/>
    <row r="386" s="50" customFormat="1"/>
    <row r="387" s="50" customFormat="1"/>
    <row r="388" s="50" customFormat="1"/>
    <row r="389" s="50" customFormat="1"/>
    <row r="390" s="50" customFormat="1"/>
    <row r="391" s="50" customFormat="1"/>
    <row r="392" s="50" customFormat="1"/>
    <row r="393" s="50" customFormat="1"/>
    <row r="394" s="50" customFormat="1"/>
    <row r="395" s="50" customFormat="1"/>
    <row r="396" s="50" customFormat="1"/>
    <row r="397" s="50" customFormat="1"/>
    <row r="398" s="50" customFormat="1"/>
    <row r="399" s="50" customFormat="1"/>
    <row r="400" s="50" customFormat="1"/>
    <row r="401" s="50" customFormat="1"/>
    <row r="402" s="50" customFormat="1"/>
    <row r="403" s="50" customFormat="1"/>
    <row r="404" s="50" customFormat="1"/>
    <row r="405" s="50" customFormat="1"/>
    <row r="406" s="50" customFormat="1"/>
    <row r="407" s="50" customFormat="1"/>
    <row r="408" s="50" customFormat="1"/>
    <row r="409" s="50" customFormat="1"/>
    <row r="410" s="50" customFormat="1"/>
    <row r="411" s="50" customFormat="1"/>
    <row r="412" s="50" customFormat="1"/>
    <row r="413" s="50" customFormat="1"/>
    <row r="414" s="50" customFormat="1"/>
    <row r="415" s="50" customFormat="1"/>
    <row r="416" s="50" customFormat="1"/>
    <row r="417" s="50" customFormat="1"/>
    <row r="418" s="50" customFormat="1"/>
    <row r="419" s="50" customFormat="1"/>
    <row r="420" s="50" customFormat="1"/>
    <row r="421" s="50" customFormat="1"/>
    <row r="422" s="50" customFormat="1"/>
    <row r="423" s="50" customFormat="1"/>
    <row r="424" s="50" customFormat="1"/>
    <row r="425" s="50" customFormat="1"/>
    <row r="426" s="50" customFormat="1"/>
    <row r="427" s="50" customFormat="1"/>
    <row r="428" s="50" customFormat="1"/>
    <row r="429" s="50" customFormat="1"/>
    <row r="430" s="50" customFormat="1"/>
    <row r="431" s="50" customFormat="1"/>
    <row r="432" s="50" customFormat="1"/>
    <row r="433" s="50" customFormat="1"/>
    <row r="434" s="50" customFormat="1"/>
    <row r="435" s="50" customFormat="1"/>
    <row r="436" s="50" customFormat="1"/>
    <row r="437" s="50" customFormat="1"/>
    <row r="438" s="50" customFormat="1"/>
    <row r="439" s="50" customFormat="1"/>
    <row r="440" s="50" customFormat="1"/>
    <row r="441" s="50" customFormat="1"/>
    <row r="442" s="50" customFormat="1"/>
    <row r="443" s="50" customFormat="1"/>
    <row r="444" s="50" customFormat="1"/>
    <row r="445" s="50" customFormat="1"/>
    <row r="446" s="50" customFormat="1"/>
    <row r="447" s="50" customFormat="1"/>
    <row r="448" s="50" customFormat="1"/>
    <row r="449" s="50" customFormat="1"/>
    <row r="450" s="50" customFormat="1"/>
    <row r="451" s="50" customFormat="1"/>
    <row r="452" s="50" customFormat="1"/>
    <row r="453" s="50" customFormat="1"/>
    <row r="454" s="50" customFormat="1"/>
    <row r="455" s="50" customFormat="1"/>
    <row r="456" s="50" customFormat="1"/>
    <row r="457" s="50" customFormat="1"/>
    <row r="458" s="50" customFormat="1"/>
    <row r="459" s="50" customFormat="1"/>
    <row r="460" s="50" customFormat="1"/>
    <row r="461" s="50" customFormat="1"/>
    <row r="462" s="50" customFormat="1"/>
    <row r="463" s="50" customFormat="1"/>
    <row r="464" s="50" customFormat="1"/>
    <row r="465" s="50" customFormat="1"/>
    <row r="466" s="50" customFormat="1"/>
    <row r="467" s="50" customFormat="1"/>
    <row r="468" s="50" customFormat="1"/>
    <row r="469" s="50" customFormat="1"/>
    <row r="470" s="50" customFormat="1"/>
    <row r="471" s="50" customFormat="1"/>
    <row r="472" s="50" customFormat="1"/>
    <row r="473" s="50" customFormat="1"/>
    <row r="474" s="50" customFormat="1"/>
    <row r="475" s="50" customFormat="1"/>
    <row r="476" s="50" customFormat="1"/>
    <row r="477" s="50" customFormat="1"/>
    <row r="478" s="50" customFormat="1"/>
    <row r="479" s="50" customFormat="1"/>
    <row r="480" s="50" customFormat="1"/>
    <row r="481" s="50" customFormat="1"/>
    <row r="482" s="50" customFormat="1"/>
    <row r="483" s="50" customFormat="1"/>
    <row r="484" s="50" customFormat="1"/>
    <row r="485" s="50" customFormat="1"/>
    <row r="486" s="50" customFormat="1"/>
    <row r="487" s="50" customFormat="1"/>
    <row r="488" s="50" customFormat="1"/>
    <row r="489" s="50" customFormat="1"/>
    <row r="490" s="50" customFormat="1"/>
    <row r="491" s="50" customFormat="1"/>
    <row r="492" s="50" customFormat="1"/>
    <row r="493" s="50" customFormat="1"/>
    <row r="494" s="50" customFormat="1"/>
    <row r="495" s="50" customFormat="1"/>
    <row r="496" s="50" customFormat="1"/>
    <row r="497" s="50" customFormat="1"/>
    <row r="498" s="50" customFormat="1"/>
    <row r="499" s="50" customFormat="1"/>
    <row r="500" s="50" customFormat="1"/>
    <row r="501" s="50" customFormat="1"/>
    <row r="502" s="50" customFormat="1"/>
    <row r="503" s="50" customFormat="1"/>
    <row r="504" s="50" customFormat="1"/>
    <row r="505" s="50" customFormat="1"/>
    <row r="506" s="50" customFormat="1"/>
    <row r="507" s="50" customFormat="1"/>
    <row r="508" s="50" customFormat="1"/>
    <row r="509" s="50" customFormat="1"/>
    <row r="510" s="50" customFormat="1"/>
    <row r="511" s="50" customFormat="1"/>
    <row r="512" s="50" customFormat="1"/>
    <row r="513" s="50" customFormat="1"/>
    <row r="514" s="50" customFormat="1"/>
    <row r="515" s="50" customFormat="1"/>
    <row r="516" s="50" customFormat="1"/>
    <row r="517" s="50" customFormat="1"/>
    <row r="518" s="50" customFormat="1"/>
    <row r="519" s="50" customFormat="1"/>
    <row r="520" s="50" customFormat="1"/>
    <row r="521" s="50" customFormat="1"/>
    <row r="522" s="50" customFormat="1"/>
    <row r="523" s="50" customFormat="1"/>
    <row r="524" s="50" customFormat="1"/>
    <row r="525" s="50" customFormat="1"/>
    <row r="526" s="50" customFormat="1"/>
    <row r="527" s="50" customFormat="1"/>
    <row r="528" s="50" customFormat="1"/>
    <row r="529" s="50" customFormat="1"/>
    <row r="530" s="50" customFormat="1"/>
    <row r="531" s="50" customFormat="1"/>
    <row r="532" s="50" customFormat="1"/>
    <row r="533" s="50" customFormat="1"/>
    <row r="534" s="50" customFormat="1"/>
    <row r="535" s="50" customFormat="1"/>
    <row r="536" s="50" customFormat="1"/>
    <row r="537" s="50" customFormat="1"/>
    <row r="538" s="50" customFormat="1"/>
    <row r="539" s="50" customFormat="1"/>
    <row r="540" s="50" customFormat="1"/>
    <row r="541" s="50" customFormat="1"/>
    <row r="542" s="50" customFormat="1"/>
    <row r="543" s="50" customFormat="1"/>
    <row r="544" s="50" customFormat="1"/>
    <row r="545" s="50" customFormat="1"/>
    <row r="546" s="50" customFormat="1"/>
    <row r="547" s="50" customFormat="1"/>
    <row r="548" s="50" customFormat="1"/>
    <row r="549" s="50" customFormat="1"/>
    <row r="550" s="50" customFormat="1"/>
    <row r="551" s="50" customFormat="1"/>
    <row r="552" s="50" customFormat="1"/>
    <row r="553" s="50" customFormat="1"/>
    <row r="554" s="50" customFormat="1"/>
    <row r="555" s="50" customFormat="1"/>
    <row r="556" s="50" customFormat="1"/>
    <row r="557" s="50" customFormat="1"/>
    <row r="558" s="50" customFormat="1"/>
    <row r="559" s="50" customFormat="1"/>
    <row r="560" s="50" customFormat="1"/>
    <row r="561" s="50" customFormat="1"/>
    <row r="562" s="50" customFormat="1"/>
    <row r="563" s="50" customFormat="1"/>
    <row r="564" s="50" customFormat="1"/>
    <row r="565" s="50" customFormat="1"/>
    <row r="566" s="50" customFormat="1"/>
    <row r="567" s="50" customFormat="1"/>
    <row r="568" s="50" customFormat="1"/>
    <row r="569" s="50" customFormat="1"/>
    <row r="570" s="50" customFormat="1"/>
    <row r="571" s="50" customFormat="1"/>
    <row r="572" s="50" customFormat="1"/>
    <row r="573" s="50" customFormat="1"/>
    <row r="574" s="50" customFormat="1"/>
    <row r="575" s="50" customFormat="1"/>
    <row r="576" s="50" customFormat="1"/>
    <row r="577" s="50" customFormat="1"/>
    <row r="578" s="50" customFormat="1"/>
    <row r="579" s="50" customFormat="1"/>
    <row r="580" s="50" customFormat="1"/>
    <row r="581" s="50" customFormat="1"/>
    <row r="582" s="50" customFormat="1"/>
    <row r="583" s="50" customFormat="1"/>
    <row r="584" s="50" customFormat="1"/>
    <row r="585" s="50" customFormat="1"/>
    <row r="586" s="50" customFormat="1"/>
    <row r="587" s="50" customFormat="1"/>
    <row r="588" s="50" customFormat="1"/>
    <row r="589" s="50" customFormat="1"/>
    <row r="590" s="50" customFormat="1"/>
    <row r="591" s="50" customFormat="1"/>
    <row r="592" s="50" customFormat="1"/>
    <row r="593" s="50" customFormat="1"/>
    <row r="594" s="50" customFormat="1"/>
    <row r="595" s="50" customFormat="1"/>
    <row r="596" s="50" customFormat="1"/>
    <row r="597" s="50" customFormat="1"/>
    <row r="598" s="50" customFormat="1"/>
    <row r="599" s="50" customFormat="1"/>
    <row r="600" s="50" customFormat="1"/>
    <row r="601" s="50" customFormat="1"/>
    <row r="602" s="50" customFormat="1"/>
    <row r="603" s="50" customFormat="1"/>
    <row r="604" s="50" customFormat="1"/>
    <row r="605" s="50" customFormat="1"/>
    <row r="606" s="50" customFormat="1"/>
    <row r="607" s="50" customFormat="1"/>
    <row r="608" s="50" customFormat="1"/>
    <row r="609" s="50" customFormat="1"/>
    <row r="610" s="50" customFormat="1"/>
    <row r="611" s="50" customFormat="1"/>
    <row r="612" s="50" customFormat="1"/>
    <row r="613" s="50" customFormat="1"/>
    <row r="614" s="50" customFormat="1"/>
    <row r="615" s="50" customFormat="1"/>
    <row r="616" s="50" customFormat="1"/>
    <row r="617" s="50" customFormat="1"/>
    <row r="618" s="50" customFormat="1"/>
    <row r="619" s="50" customFormat="1"/>
    <row r="620" s="50" customFormat="1"/>
    <row r="621" s="50" customFormat="1"/>
    <row r="622" s="50" customFormat="1"/>
    <row r="623" s="50" customFormat="1"/>
    <row r="624" s="50" customFormat="1"/>
    <row r="625" s="50" customFormat="1"/>
    <row r="626" s="50" customFormat="1"/>
    <row r="627" s="50" customFormat="1"/>
    <row r="628" s="50" customFormat="1"/>
    <row r="629" s="50" customFormat="1"/>
    <row r="630" s="50" customFormat="1"/>
    <row r="631" s="50" customFormat="1"/>
    <row r="632" s="50" customFormat="1"/>
    <row r="633" s="50" customFormat="1"/>
    <row r="634" s="50" customFormat="1"/>
    <row r="635" s="50" customFormat="1"/>
    <row r="636" s="50" customFormat="1"/>
    <row r="637" s="50" customFormat="1"/>
    <row r="638" s="50" customFormat="1"/>
    <row r="639" s="50" customFormat="1"/>
    <row r="640" s="50" customFormat="1"/>
    <row r="641" s="50" customFormat="1"/>
    <row r="642" s="50" customFormat="1"/>
    <row r="643" s="50" customFormat="1"/>
    <row r="644" s="50" customFormat="1"/>
    <row r="645" s="50" customFormat="1"/>
    <row r="646" s="50" customFormat="1"/>
    <row r="647" s="50" customFormat="1"/>
    <row r="648" s="50" customFormat="1"/>
    <row r="649" s="50" customFormat="1"/>
    <row r="650" s="50" customFormat="1"/>
    <row r="651" s="50" customFormat="1"/>
    <row r="652" s="50" customFormat="1"/>
    <row r="653" s="50" customFormat="1"/>
    <row r="654" s="50" customFormat="1"/>
    <row r="655" s="50" customFormat="1"/>
    <row r="656" s="50" customFormat="1"/>
    <row r="657" s="50" customFormat="1"/>
    <row r="658" s="50" customFormat="1"/>
    <row r="659" s="50" customFormat="1"/>
    <row r="660" s="50" customFormat="1"/>
    <row r="661" s="50" customFormat="1"/>
    <row r="662" s="50" customFormat="1"/>
    <row r="663" s="50" customFormat="1"/>
    <row r="664" s="50" customFormat="1"/>
    <row r="665" s="50" customFormat="1"/>
    <row r="666" s="50" customFormat="1"/>
    <row r="667" s="50" customFormat="1"/>
    <row r="668" s="50" customFormat="1"/>
    <row r="669" s="50" customFormat="1"/>
    <row r="670" s="50" customFormat="1"/>
    <row r="671" s="50" customFormat="1"/>
    <row r="672" s="50" customFormat="1"/>
    <row r="673" s="50" customFormat="1"/>
    <row r="674" s="50" customFormat="1"/>
    <row r="675" s="50" customFormat="1"/>
    <row r="676" s="50" customFormat="1"/>
    <row r="677" s="50" customFormat="1"/>
    <row r="678" s="50" customFormat="1"/>
    <row r="679" s="50" customFormat="1"/>
    <row r="680" s="50" customFormat="1"/>
  </sheetData>
  <mergeCells count="6">
    <mergeCell ref="C8:E8"/>
    <mergeCell ref="C15:E15"/>
    <mergeCell ref="C25:E25"/>
    <mergeCell ref="C49:E49"/>
    <mergeCell ref="C57:E57"/>
    <mergeCell ref="C62:D6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zoomScale="120" zoomScaleNormal="120" workbookViewId="0">
      <selection activeCell="B20" sqref="B20"/>
    </sheetView>
  </sheetViews>
  <sheetFormatPr defaultColWidth="9" defaultRowHeight="16.8" outlineLevelCol="2"/>
  <cols>
    <col min="1" max="1" width="18" customWidth="1"/>
    <col min="2" max="2" width="68.25" customWidth="1"/>
    <col min="3" max="3" width="14.3359375" customWidth="1"/>
  </cols>
  <sheetData>
    <row r="1" spans="1:3">
      <c r="A1" s="48" t="s">
        <v>47</v>
      </c>
      <c r="B1" s="48" t="s">
        <v>48</v>
      </c>
      <c r="C1" s="48" t="s">
        <v>49</v>
      </c>
    </row>
    <row r="2" spans="1:3">
      <c r="A2" t="s">
        <v>50</v>
      </c>
      <c r="B2" t="s">
        <v>51</v>
      </c>
      <c r="C2" t="s">
        <v>52</v>
      </c>
    </row>
    <row r="3" spans="1:3">
      <c r="A3" t="s">
        <v>53</v>
      </c>
      <c r="B3" t="s">
        <v>54</v>
      </c>
      <c r="C3" t="s">
        <v>55</v>
      </c>
    </row>
    <row r="4" spans="1:3">
      <c r="A4" t="s">
        <v>56</v>
      </c>
      <c r="B4" t="s">
        <v>57</v>
      </c>
      <c r="C4" t="s">
        <v>58</v>
      </c>
    </row>
    <row r="5" spans="1:3">
      <c r="A5" t="s">
        <v>59</v>
      </c>
      <c r="B5" t="s">
        <v>60</v>
      </c>
      <c r="C5" t="s">
        <v>61</v>
      </c>
    </row>
    <row r="6" spans="1:2">
      <c r="A6" t="s">
        <v>62</v>
      </c>
      <c r="B6" t="s">
        <v>63</v>
      </c>
    </row>
    <row r="7" spans="1:3">
      <c r="A7" s="48" t="s">
        <v>64</v>
      </c>
      <c r="B7" t="s">
        <v>65</v>
      </c>
      <c r="C7" t="s">
        <v>66</v>
      </c>
    </row>
    <row r="8" spans="2:3">
      <c r="B8" t="s">
        <v>67</v>
      </c>
      <c r="C8" t="s">
        <v>68</v>
      </c>
    </row>
    <row r="9" spans="2:3">
      <c r="B9" t="s">
        <v>69</v>
      </c>
      <c r="C9" t="s">
        <v>70</v>
      </c>
    </row>
    <row r="10" spans="2:3">
      <c r="B10" t="s">
        <v>71</v>
      </c>
      <c r="C10" t="s">
        <v>72</v>
      </c>
    </row>
    <row r="11" spans="1:1">
      <c r="A11" s="48" t="s">
        <v>73</v>
      </c>
    </row>
    <row r="12" spans="1:2">
      <c r="A12" t="s">
        <v>74</v>
      </c>
      <c r="B12" t="s">
        <v>75</v>
      </c>
    </row>
    <row r="13" spans="2:2">
      <c r="B13" t="s">
        <v>76</v>
      </c>
    </row>
    <row r="14" spans="2:2">
      <c r="B14" t="s">
        <v>77</v>
      </c>
    </row>
    <row r="15" spans="1:2">
      <c r="A15" t="s">
        <v>78</v>
      </c>
      <c r="B15" t="s">
        <v>79</v>
      </c>
    </row>
    <row r="16" spans="2:2">
      <c r="B16" t="s">
        <v>80</v>
      </c>
    </row>
    <row r="17" ht="17" spans="1:2">
      <c r="A17" t="s">
        <v>81</v>
      </c>
      <c r="B17" s="49" t="s">
        <v>82</v>
      </c>
    </row>
    <row r="18" spans="2:2">
      <c r="B18" t="s">
        <v>83</v>
      </c>
    </row>
    <row r="19" spans="2:2">
      <c r="B19" t="s">
        <v>84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62"/>
  <sheetViews>
    <sheetView showGridLines="0" topLeftCell="A43" workbookViewId="0">
      <selection activeCell="B1" sqref="B1"/>
    </sheetView>
  </sheetViews>
  <sheetFormatPr defaultColWidth="9" defaultRowHeight="15.2" outlineLevelCol="6"/>
  <cols>
    <col min="1" max="1" width="2.0859375" style="2" customWidth="1"/>
    <col min="2" max="2" width="8.0859375" style="2" customWidth="1"/>
    <col min="3" max="3" width="25.75" style="2" customWidth="1"/>
    <col min="4" max="5" width="14.5859375" style="2" customWidth="1"/>
    <col min="6" max="6" width="2.0859375" style="2" customWidth="1"/>
    <col min="7" max="7" width="7.0859375" style="2" customWidth="1"/>
    <col min="8" max="16384" width="9" style="2"/>
  </cols>
  <sheetData>
    <row r="1" s="1" customFormat="1" ht="31.5" customHeight="1" spans="2:5">
      <c r="B1" s="24"/>
      <c r="C1" s="25"/>
      <c r="E1" s="44" t="s">
        <v>85</v>
      </c>
    </row>
    <row r="2" s="1" customFormat="1" spans="1:5">
      <c r="A2" s="26"/>
      <c r="B2" s="11"/>
      <c r="C2" s="27"/>
      <c r="D2" s="28" t="s">
        <v>86</v>
      </c>
      <c r="E2" s="45"/>
    </row>
    <row r="3" s="1" customFormat="1" spans="2:5">
      <c r="B3" s="5"/>
      <c r="C3" s="5"/>
      <c r="D3" s="5"/>
      <c r="E3" s="5"/>
    </row>
    <row r="4" s="1" customFormat="1" ht="21" customHeight="1" spans="2:7">
      <c r="B4" s="29" t="s">
        <v>87</v>
      </c>
      <c r="C4" s="29"/>
      <c r="D4" s="30">
        <v>2020</v>
      </c>
      <c r="E4" s="30">
        <v>2019</v>
      </c>
      <c r="F4" s="23"/>
      <c r="G4" s="23"/>
    </row>
    <row r="5" s="1" customFormat="1" ht="16.8" spans="2:5">
      <c r="B5" s="31" t="s">
        <v>88</v>
      </c>
      <c r="C5" s="32"/>
      <c r="D5" s="33"/>
      <c r="E5" s="33"/>
    </row>
    <row r="6" s="1" customFormat="1" spans="2:5">
      <c r="B6" s="5"/>
      <c r="C6" s="11" t="s">
        <v>89</v>
      </c>
      <c r="D6" s="34"/>
      <c r="E6" s="34"/>
    </row>
    <row r="7" s="1" customFormat="1" spans="2:5">
      <c r="B7" s="5"/>
      <c r="C7" s="11" t="s">
        <v>90</v>
      </c>
      <c r="D7" s="34"/>
      <c r="E7" s="34"/>
    </row>
    <row r="8" s="1" customFormat="1" spans="2:5">
      <c r="B8" s="5"/>
      <c r="C8" s="11" t="s">
        <v>91</v>
      </c>
      <c r="D8" s="34"/>
      <c r="E8" s="34"/>
    </row>
    <row r="9" s="1" customFormat="1" spans="2:5">
      <c r="B9" s="5"/>
      <c r="C9" s="11" t="s">
        <v>92</v>
      </c>
      <c r="D9" s="34"/>
      <c r="E9" s="34"/>
    </row>
    <row r="10" s="1" customFormat="1" spans="2:5">
      <c r="B10" s="5"/>
      <c r="C10" s="11" t="s">
        <v>93</v>
      </c>
      <c r="D10" s="34"/>
      <c r="E10" s="34"/>
    </row>
    <row r="11" s="1" customFormat="1" spans="2:5">
      <c r="B11" s="5"/>
      <c r="C11" s="35" t="s">
        <v>94</v>
      </c>
      <c r="D11" s="36">
        <f>SUM(D6:D10)</f>
        <v>0</v>
      </c>
      <c r="E11" s="36">
        <f>SUM(E6:E10)</f>
        <v>0</v>
      </c>
    </row>
    <row r="12" s="1" customFormat="1" ht="16.8" spans="2:5">
      <c r="B12" s="31" t="s">
        <v>95</v>
      </c>
      <c r="C12" s="32"/>
      <c r="D12" s="33"/>
      <c r="E12" s="33"/>
    </row>
    <row r="13" s="1" customFormat="1" spans="2:5">
      <c r="B13" s="5"/>
      <c r="C13" s="11" t="s">
        <v>96</v>
      </c>
      <c r="D13" s="34"/>
      <c r="E13" s="34"/>
    </row>
    <row r="14" s="1" customFormat="1" spans="2:5">
      <c r="B14" s="5"/>
      <c r="C14" s="11" t="s">
        <v>97</v>
      </c>
      <c r="D14" s="34"/>
      <c r="E14" s="34"/>
    </row>
    <row r="15" s="1" customFormat="1" spans="2:5">
      <c r="B15" s="5"/>
      <c r="C15" s="11" t="s">
        <v>98</v>
      </c>
      <c r="D15" s="34"/>
      <c r="E15" s="34"/>
    </row>
    <row r="16" s="1" customFormat="1" spans="2:5">
      <c r="B16" s="5"/>
      <c r="C16" s="11" t="s">
        <v>99</v>
      </c>
      <c r="D16" s="34"/>
      <c r="E16" s="34"/>
    </row>
    <row r="17" s="1" customFormat="1" spans="2:5">
      <c r="B17" s="5"/>
      <c r="C17" s="35" t="s">
        <v>100</v>
      </c>
      <c r="D17" s="36">
        <f>SUM(D13:D16)</f>
        <v>0</v>
      </c>
      <c r="E17" s="36">
        <f>SUM(E13:E16)</f>
        <v>0</v>
      </c>
    </row>
    <row r="18" s="1" customFormat="1" ht="16.8" spans="2:5">
      <c r="B18" s="31" t="s">
        <v>101</v>
      </c>
      <c r="C18" s="32"/>
      <c r="D18" s="33"/>
      <c r="E18" s="33"/>
    </row>
    <row r="19" s="1" customFormat="1" spans="2:5">
      <c r="B19" s="5"/>
      <c r="C19" s="11" t="s">
        <v>102</v>
      </c>
      <c r="D19" s="34"/>
      <c r="E19" s="34"/>
    </row>
    <row r="20" s="1" customFormat="1" spans="2:5">
      <c r="B20" s="5"/>
      <c r="C20" s="11" t="s">
        <v>103</v>
      </c>
      <c r="D20" s="34"/>
      <c r="E20" s="34"/>
    </row>
    <row r="21" s="1" customFormat="1" spans="2:5">
      <c r="B21" s="5"/>
      <c r="C21" s="35" t="s">
        <v>104</v>
      </c>
      <c r="D21" s="36">
        <f>SUM(D19:D20)</f>
        <v>0</v>
      </c>
      <c r="E21" s="36">
        <f>SUM(E19:E20)</f>
        <v>0</v>
      </c>
    </row>
    <row r="22" s="1" customFormat="1" spans="2:5">
      <c r="B22" s="5"/>
      <c r="C22" s="5"/>
      <c r="D22" s="11"/>
      <c r="E22" s="11"/>
    </row>
    <row r="23" s="1" customFormat="1" ht="18.35" spans="2:5">
      <c r="B23" s="37" t="s">
        <v>105</v>
      </c>
      <c r="C23" s="37"/>
      <c r="D23" s="38">
        <f>D11+D17+D21</f>
        <v>0</v>
      </c>
      <c r="E23" s="38">
        <f>E11+E17+E21</f>
        <v>0</v>
      </c>
    </row>
    <row r="24" s="1" customFormat="1" ht="15.95" spans="2:5">
      <c r="B24" s="5"/>
      <c r="C24" s="5"/>
      <c r="D24" s="5"/>
      <c r="E24" s="5"/>
    </row>
    <row r="25" s="1" customFormat="1" ht="21" customHeight="1" spans="1:7">
      <c r="A25" s="39" t="s">
        <v>106</v>
      </c>
      <c r="B25" s="29" t="s">
        <v>107</v>
      </c>
      <c r="C25" s="29"/>
      <c r="D25" s="29"/>
      <c r="E25" s="29"/>
      <c r="F25" s="23"/>
      <c r="G25" s="23"/>
    </row>
    <row r="26" s="1" customFormat="1" ht="16.8" spans="2:5">
      <c r="B26" s="31" t="s">
        <v>108</v>
      </c>
      <c r="C26" s="32"/>
      <c r="D26" s="33"/>
      <c r="E26" s="33"/>
    </row>
    <row r="27" s="1" customFormat="1" spans="2:5">
      <c r="B27" s="5"/>
      <c r="C27" s="11" t="s">
        <v>109</v>
      </c>
      <c r="D27" s="34"/>
      <c r="E27" s="34"/>
    </row>
    <row r="28" s="1" customFormat="1" spans="2:5">
      <c r="B28" s="5"/>
      <c r="C28" s="11" t="s">
        <v>110</v>
      </c>
      <c r="D28" s="34"/>
      <c r="E28" s="34"/>
    </row>
    <row r="29" s="1" customFormat="1" spans="2:7">
      <c r="B29" s="5"/>
      <c r="C29" s="11" t="s">
        <v>111</v>
      </c>
      <c r="D29" s="34"/>
      <c r="E29" s="34"/>
      <c r="G29" s="46"/>
    </row>
    <row r="30" s="1" customFormat="1" spans="2:5">
      <c r="B30" s="5"/>
      <c r="C30" s="11" t="s">
        <v>112</v>
      </c>
      <c r="D30" s="34"/>
      <c r="E30" s="34"/>
    </row>
    <row r="31" s="1" customFormat="1" spans="2:5">
      <c r="B31" s="5"/>
      <c r="C31" s="11" t="s">
        <v>113</v>
      </c>
      <c r="D31" s="34"/>
      <c r="E31" s="34"/>
    </row>
    <row r="32" s="1" customFormat="1" spans="2:5">
      <c r="B32" s="5"/>
      <c r="C32" s="11" t="s">
        <v>114</v>
      </c>
      <c r="D32" s="34"/>
      <c r="E32" s="34"/>
    </row>
    <row r="33" s="1" customFormat="1" spans="2:5">
      <c r="B33" s="5"/>
      <c r="C33" s="35" t="s">
        <v>115</v>
      </c>
      <c r="D33" s="36">
        <f>SUM(D27:D32)</f>
        <v>0</v>
      </c>
      <c r="E33" s="36">
        <f>SUM(E27:E32)</f>
        <v>0</v>
      </c>
    </row>
    <row r="34" s="1" customFormat="1" ht="16.8" spans="2:5">
      <c r="B34" s="31" t="s">
        <v>116</v>
      </c>
      <c r="C34" s="32"/>
      <c r="D34" s="33"/>
      <c r="E34" s="33"/>
    </row>
    <row r="35" s="1" customFormat="1" spans="2:5">
      <c r="B35" s="5"/>
      <c r="C35" s="11" t="s">
        <v>117</v>
      </c>
      <c r="D35" s="34"/>
      <c r="E35" s="34"/>
    </row>
    <row r="36" s="1" customFormat="1" spans="2:5">
      <c r="B36" s="5"/>
      <c r="C36" s="11" t="s">
        <v>102</v>
      </c>
      <c r="D36" s="34"/>
      <c r="E36" s="34"/>
    </row>
    <row r="37" s="1" customFormat="1" spans="2:5">
      <c r="B37" s="5"/>
      <c r="C37" s="11" t="s">
        <v>103</v>
      </c>
      <c r="D37" s="34"/>
      <c r="E37" s="34"/>
    </row>
    <row r="38" s="1" customFormat="1" spans="2:5">
      <c r="B38" s="5"/>
      <c r="C38" s="35" t="s">
        <v>118</v>
      </c>
      <c r="D38" s="36">
        <f>SUM(D35:D37)</f>
        <v>0</v>
      </c>
      <c r="E38" s="36">
        <f>SUM(E35:E37)</f>
        <v>0</v>
      </c>
    </row>
    <row r="39" s="1" customFormat="1" ht="16.8" spans="2:5">
      <c r="B39" s="31" t="s">
        <v>119</v>
      </c>
      <c r="C39" s="32"/>
      <c r="D39" s="33"/>
      <c r="E39" s="33"/>
    </row>
    <row r="40" s="1" customFormat="1" spans="2:5">
      <c r="B40" s="5"/>
      <c r="C40" s="11" t="s">
        <v>120</v>
      </c>
      <c r="D40" s="34"/>
      <c r="E40" s="34"/>
    </row>
    <row r="41" s="1" customFormat="1" spans="2:5">
      <c r="B41" s="5"/>
      <c r="C41" s="11" t="s">
        <v>121</v>
      </c>
      <c r="D41" s="34"/>
      <c r="E41" s="34"/>
    </row>
    <row r="42" s="1" customFormat="1" spans="2:5">
      <c r="B42" s="5"/>
      <c r="C42" s="11" t="s">
        <v>103</v>
      </c>
      <c r="D42" s="34"/>
      <c r="E42" s="34"/>
    </row>
    <row r="43" s="1" customFormat="1" spans="2:5">
      <c r="B43" s="5"/>
      <c r="C43" s="35" t="s">
        <v>122</v>
      </c>
      <c r="D43" s="36">
        <f>SUM(D40:D42)</f>
        <v>0</v>
      </c>
      <c r="E43" s="36">
        <f>SUM(E40:E42)</f>
        <v>0</v>
      </c>
    </row>
    <row r="44" s="1" customFormat="1" spans="2:5">
      <c r="B44" s="5"/>
      <c r="C44" s="5"/>
      <c r="D44" s="5"/>
      <c r="E44" s="5"/>
    </row>
    <row r="45" s="1" customFormat="1" ht="18.35" spans="2:5">
      <c r="B45" s="37" t="s">
        <v>123</v>
      </c>
      <c r="C45" s="37"/>
      <c r="D45" s="38">
        <f>D33+D38+D43</f>
        <v>0</v>
      </c>
      <c r="E45" s="38">
        <f>E33+E38+E43</f>
        <v>0</v>
      </c>
    </row>
    <row r="46" s="1" customFormat="1" ht="15.95" spans="2:5">
      <c r="B46" s="5"/>
      <c r="C46" s="5"/>
      <c r="D46" s="5"/>
      <c r="E46" s="47" t="s">
        <v>124</v>
      </c>
    </row>
    <row r="47" s="1" customFormat="1" ht="21" customHeight="1" spans="2:5">
      <c r="B47" s="29" t="s">
        <v>125</v>
      </c>
      <c r="C47" s="29"/>
      <c r="D47" s="29"/>
      <c r="E47" s="29"/>
    </row>
    <row r="48" s="1" customFormat="1" ht="16" spans="2:5">
      <c r="B48" s="40" t="s">
        <v>126</v>
      </c>
      <c r="C48" s="40"/>
      <c r="D48" s="41" t="str">
        <f>IF(D23=0,"",(D33+D38)/D23)</f>
        <v/>
      </c>
      <c r="E48" s="41" t="str">
        <f>IF(E23=0,"",(E33+E38)/E23)</f>
        <v/>
      </c>
    </row>
    <row r="49" s="1" customFormat="1" ht="16" spans="2:5">
      <c r="B49" s="40" t="s">
        <v>127</v>
      </c>
      <c r="C49" s="40"/>
      <c r="D49" s="41" t="str">
        <f>IF(D33=0,"",D11/D33)</f>
        <v/>
      </c>
      <c r="E49" s="41" t="str">
        <f>IF(E33=0,"",E11/E33)</f>
        <v/>
      </c>
    </row>
    <row r="50" s="1" customFormat="1" ht="16" spans="2:5">
      <c r="B50" s="40" t="s">
        <v>128</v>
      </c>
      <c r="C50" s="40"/>
      <c r="D50" s="42">
        <f>D11-D33</f>
        <v>0</v>
      </c>
      <c r="E50" s="42">
        <f>E11-E33</f>
        <v>0</v>
      </c>
    </row>
    <row r="51" s="1" customFormat="1" ht="16" spans="2:5">
      <c r="B51" s="40" t="s">
        <v>129</v>
      </c>
      <c r="C51" s="40"/>
      <c r="D51" s="41" t="str">
        <f>IF(D43=0,"",D23/D43)</f>
        <v/>
      </c>
      <c r="E51" s="41" t="str">
        <f>IF(E43=0,"",E23/E43)</f>
        <v/>
      </c>
    </row>
    <row r="52" s="1" customFormat="1" ht="16" spans="2:5">
      <c r="B52" s="40" t="s">
        <v>130</v>
      </c>
      <c r="C52" s="40"/>
      <c r="D52" s="41" t="e">
        <f>D41/(D23-D33)</f>
        <v>#DIV/0!</v>
      </c>
      <c r="E52" s="41"/>
    </row>
    <row r="53" s="1" customFormat="1" ht="16" spans="2:5">
      <c r="B53" s="40" t="s">
        <v>131</v>
      </c>
      <c r="C53" s="40"/>
      <c r="D53" s="41"/>
      <c r="E53" s="41"/>
    </row>
    <row r="54" s="1" customFormat="1" spans="2:5">
      <c r="B54" s="43" t="s">
        <v>132</v>
      </c>
      <c r="C54" s="40"/>
      <c r="D54" s="41"/>
      <c r="E54" s="41"/>
    </row>
    <row r="55" s="1" customFormat="1" ht="16" spans="2:5">
      <c r="B55" s="2" t="s">
        <v>133</v>
      </c>
      <c r="C55" s="40"/>
      <c r="D55" s="41"/>
      <c r="E55" s="41"/>
    </row>
    <row r="56" s="1" customFormat="1" ht="16" spans="2:5">
      <c r="B56" s="2" t="s">
        <v>134</v>
      </c>
      <c r="C56" s="40"/>
      <c r="D56" s="41"/>
      <c r="E56" s="41"/>
    </row>
    <row r="57" s="1" customFormat="1" ht="16" spans="2:5">
      <c r="B57" s="2" t="s">
        <v>135</v>
      </c>
      <c r="C57" s="40"/>
      <c r="D57" s="41"/>
      <c r="E57" s="41"/>
    </row>
    <row r="58" s="1" customFormat="1" ht="16" spans="2:5">
      <c r="B58" s="40" t="s">
        <v>136</v>
      </c>
      <c r="C58" s="40"/>
      <c r="D58" s="41"/>
      <c r="E58" s="41"/>
    </row>
    <row r="59" s="1" customFormat="1" ht="16" spans="2:5">
      <c r="B59" s="40" t="s">
        <v>137</v>
      </c>
      <c r="C59" s="40"/>
      <c r="D59" s="41"/>
      <c r="E59" s="41"/>
    </row>
    <row r="60" s="1" customFormat="1" ht="16" spans="2:5">
      <c r="B60" s="40" t="s">
        <v>138</v>
      </c>
      <c r="C60" s="40"/>
      <c r="D60" s="41"/>
      <c r="E60" s="41"/>
    </row>
    <row r="61" s="1" customFormat="1" ht="16" spans="2:5">
      <c r="B61" s="40" t="s">
        <v>139</v>
      </c>
      <c r="C61" s="40"/>
      <c r="D61" s="41"/>
      <c r="E61" s="41"/>
    </row>
    <row r="62" s="1" customFormat="1" ht="16" spans="2:5">
      <c r="B62" s="40" t="s">
        <v>140</v>
      </c>
      <c r="C62" s="40"/>
      <c r="D62" s="41" t="str">
        <f>IF(D43=0,"",(D33+D38)/D43)</f>
        <v/>
      </c>
      <c r="E62" s="41" t="str">
        <f>IF(E43=0,"",(E33+E38)/E43)</f>
        <v/>
      </c>
    </row>
  </sheetData>
  <printOptions horizontalCentered="1"/>
  <pageMargins left="0.5" right="0.5" top="0.5" bottom="0.5" header="0.5" footer="0.25"/>
  <pageSetup paperSize="1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43"/>
  <sheetViews>
    <sheetView showGridLines="0" tabSelected="1" topLeftCell="B1" workbookViewId="0">
      <selection activeCell="B1" sqref="B1:D1"/>
    </sheetView>
  </sheetViews>
  <sheetFormatPr defaultColWidth="9" defaultRowHeight="15.2" outlineLevelCol="5"/>
  <cols>
    <col min="1" max="1" width="3.5859375" style="2" customWidth="1"/>
    <col min="2" max="2" width="5.75" style="2" customWidth="1"/>
    <col min="3" max="3" width="48.5" style="2" customWidth="1"/>
    <col min="4" max="4" width="13.8359375" style="2" customWidth="1"/>
    <col min="5" max="5" width="3.5859375" style="2" customWidth="1"/>
    <col min="6" max="16384" width="9" style="2"/>
  </cols>
  <sheetData>
    <row r="1" s="1" customFormat="1" ht="23.2" spans="2:4">
      <c r="B1" s="3"/>
      <c r="C1" s="3"/>
      <c r="D1" s="3"/>
    </row>
    <row r="2" s="1" customFormat="1" ht="23.2" spans="2:4">
      <c r="B2" s="4" t="s">
        <v>141</v>
      </c>
      <c r="C2" s="4"/>
      <c r="D2" s="4"/>
    </row>
    <row r="3" s="1" customFormat="1"/>
    <row r="4" s="1" customFormat="1" spans="2:4">
      <c r="B4" s="5"/>
      <c r="C4" s="6" t="s">
        <v>142</v>
      </c>
      <c r="D4" s="7">
        <v>43830</v>
      </c>
    </row>
    <row r="5" s="1" customFormat="1" spans="2:4">
      <c r="B5" s="5"/>
      <c r="C5" s="6" t="s">
        <v>143</v>
      </c>
      <c r="D5" s="8"/>
    </row>
    <row r="6" s="1" customFormat="1" spans="2:4">
      <c r="B6" s="5"/>
      <c r="C6" s="5"/>
      <c r="D6" s="5"/>
    </row>
    <row r="7" s="1" customFormat="1" ht="17.6" spans="2:6">
      <c r="B7" s="9" t="s">
        <v>144</v>
      </c>
      <c r="C7" s="9"/>
      <c r="D7" s="10"/>
      <c r="E7" s="23"/>
      <c r="F7" s="23"/>
    </row>
    <row r="8" spans="2:4">
      <c r="B8" s="11" t="s">
        <v>145</v>
      </c>
      <c r="C8" s="11"/>
      <c r="D8" s="12"/>
    </row>
    <row r="9" s="1" customFormat="1" spans="3:4">
      <c r="C9" s="1" t="s">
        <v>146</v>
      </c>
      <c r="D9" s="8"/>
    </row>
    <row r="10" s="1" customFormat="1" spans="3:4">
      <c r="C10" s="1" t="s">
        <v>147</v>
      </c>
      <c r="D10" s="8"/>
    </row>
    <row r="11" s="1" customFormat="1" spans="2:4">
      <c r="B11" s="11" t="s">
        <v>148</v>
      </c>
      <c r="C11" s="11"/>
      <c r="D11" s="12"/>
    </row>
    <row r="12" s="1" customFormat="1" spans="2:4">
      <c r="B12" s="5"/>
      <c r="C12" s="11" t="s">
        <v>149</v>
      </c>
      <c r="D12" s="8"/>
    </row>
    <row r="13" s="1" customFormat="1" spans="2:4">
      <c r="B13" s="5"/>
      <c r="C13" s="11" t="s">
        <v>150</v>
      </c>
      <c r="D13" s="8"/>
    </row>
    <row r="14" s="1" customFormat="1" spans="2:4">
      <c r="B14" s="5"/>
      <c r="C14" s="11" t="s">
        <v>151</v>
      </c>
      <c r="D14" s="8"/>
    </row>
    <row r="15" s="1" customFormat="1" spans="2:4">
      <c r="B15" s="5"/>
      <c r="C15" s="11" t="s">
        <v>152</v>
      </c>
      <c r="D15" s="8"/>
    </row>
    <row r="16" s="1" customFormat="1" spans="2:4">
      <c r="B16" s="5"/>
      <c r="C16" s="11" t="s">
        <v>153</v>
      </c>
      <c r="D16" s="8"/>
    </row>
    <row r="17" s="1" customFormat="1" ht="17.6" spans="2:4">
      <c r="B17" s="13" t="s">
        <v>154</v>
      </c>
      <c r="C17" s="13"/>
      <c r="D17" s="14">
        <f>SUM(D8:D16)</f>
        <v>0</v>
      </c>
    </row>
    <row r="18" s="1" customFormat="1" spans="2:4">
      <c r="B18" s="5"/>
      <c r="C18" s="5"/>
      <c r="D18" s="5"/>
    </row>
    <row r="19" s="1" customFormat="1" ht="17.6" spans="1:6">
      <c r="A19" s="15" t="s">
        <v>106</v>
      </c>
      <c r="B19" s="9" t="s">
        <v>155</v>
      </c>
      <c r="C19" s="9"/>
      <c r="D19" s="10"/>
      <c r="E19" s="23"/>
      <c r="F19" s="23"/>
    </row>
    <row r="20" s="1" customFormat="1" spans="2:4">
      <c r="B20" s="11" t="s">
        <v>145</v>
      </c>
      <c r="C20" s="11"/>
      <c r="D20" s="12"/>
    </row>
    <row r="21" s="1" customFormat="1" spans="2:4">
      <c r="B21" s="5"/>
      <c r="C21" s="11" t="s">
        <v>156</v>
      </c>
      <c r="D21" s="8"/>
    </row>
    <row r="22" s="1" customFormat="1" spans="2:4">
      <c r="B22" s="5"/>
      <c r="C22" s="11" t="s">
        <v>157</v>
      </c>
      <c r="D22" s="8"/>
    </row>
    <row r="23" s="1" customFormat="1" spans="2:4">
      <c r="B23" s="5"/>
      <c r="C23" s="11" t="s">
        <v>158</v>
      </c>
      <c r="D23" s="8"/>
    </row>
    <row r="24" s="1" customFormat="1" spans="2:4">
      <c r="B24" s="11" t="s">
        <v>148</v>
      </c>
      <c r="C24" s="11"/>
      <c r="D24" s="12"/>
    </row>
    <row r="25" s="1" customFormat="1" spans="2:4">
      <c r="B25" s="5"/>
      <c r="C25" s="11" t="s">
        <v>159</v>
      </c>
      <c r="D25" s="8"/>
    </row>
    <row r="26" s="1" customFormat="1" spans="2:4">
      <c r="B26" s="5"/>
      <c r="C26" s="11" t="s">
        <v>160</v>
      </c>
      <c r="D26" s="8"/>
    </row>
    <row r="27" s="1" customFormat="1" spans="2:4">
      <c r="B27" s="5"/>
      <c r="C27" s="11" t="s">
        <v>161</v>
      </c>
      <c r="D27" s="8"/>
    </row>
    <row r="28" s="1" customFormat="1" ht="17.6" spans="2:4">
      <c r="B28" s="16" t="s">
        <v>162</v>
      </c>
      <c r="C28" s="16"/>
      <c r="D28" s="14">
        <f>SUM(D20:D27)</f>
        <v>0</v>
      </c>
    </row>
    <row r="29" s="1" customFormat="1" spans="2:4">
      <c r="B29" s="17"/>
      <c r="C29" s="5"/>
      <c r="D29" s="5"/>
    </row>
    <row r="30" s="1" customFormat="1" ht="17.6" spans="2:6">
      <c r="B30" s="9" t="s">
        <v>163</v>
      </c>
      <c r="C30" s="9"/>
      <c r="D30" s="10"/>
      <c r="E30" s="23"/>
      <c r="F30" s="23"/>
    </row>
    <row r="31" s="1" customFormat="1" spans="2:4">
      <c r="B31" s="11" t="s">
        <v>145</v>
      </c>
      <c r="C31" s="11"/>
      <c r="D31" s="12"/>
    </row>
    <row r="32" s="1" customFormat="1" spans="2:4">
      <c r="B32" s="5"/>
      <c r="C32" s="11" t="s">
        <v>164</v>
      </c>
      <c r="D32" s="8"/>
    </row>
    <row r="33" s="1" customFormat="1" spans="2:4">
      <c r="B33" s="5"/>
      <c r="C33" s="11" t="s">
        <v>165</v>
      </c>
      <c r="D33" s="8"/>
    </row>
    <row r="34" s="1" customFormat="1" spans="2:4">
      <c r="B34" s="11" t="s">
        <v>148</v>
      </c>
      <c r="C34" s="11"/>
      <c r="D34" s="12"/>
    </row>
    <row r="35" s="1" customFormat="1" spans="2:4">
      <c r="B35" s="5"/>
      <c r="C35" s="11" t="s">
        <v>166</v>
      </c>
      <c r="D35" s="8"/>
    </row>
    <row r="36" s="1" customFormat="1" spans="2:4">
      <c r="B36" s="5"/>
      <c r="C36" s="11" t="s">
        <v>167</v>
      </c>
      <c r="D36" s="8"/>
    </row>
    <row r="37" s="1" customFormat="1" spans="2:4">
      <c r="B37" s="5"/>
      <c r="C37" s="11" t="s">
        <v>168</v>
      </c>
      <c r="D37" s="8"/>
    </row>
    <row r="38" s="1" customFormat="1" ht="17.6" spans="2:4">
      <c r="B38" s="16" t="s">
        <v>169</v>
      </c>
      <c r="C38" s="16"/>
      <c r="D38" s="14">
        <f>SUM(D31:D37)</f>
        <v>0</v>
      </c>
    </row>
    <row r="39" s="1" customFormat="1" spans="2:4">
      <c r="B39" s="5"/>
      <c r="C39" s="5"/>
      <c r="D39" s="5"/>
    </row>
    <row r="40" s="1" customFormat="1" ht="18.35" spans="2:4">
      <c r="B40" s="18" t="s">
        <v>170</v>
      </c>
      <c r="C40" s="18"/>
      <c r="D40" s="19">
        <f>D17+D28+D38</f>
        <v>0</v>
      </c>
    </row>
    <row r="41" s="1" customFormat="1" ht="15.95" spans="2:4">
      <c r="B41" s="5"/>
      <c r="C41" s="5"/>
      <c r="D41" s="5"/>
    </row>
    <row r="42" s="1" customFormat="1" spans="2:4">
      <c r="B42" s="5"/>
      <c r="C42" s="6" t="s">
        <v>171</v>
      </c>
      <c r="D42" s="20">
        <f>D5+D40</f>
        <v>0</v>
      </c>
    </row>
    <row r="43" s="1" customFormat="1" spans="2:4">
      <c r="B43" s="21"/>
      <c r="C43" s="5"/>
      <c r="D43" s="22"/>
    </row>
  </sheetData>
  <mergeCells count="2">
    <mergeCell ref="B1:D1"/>
    <mergeCell ref="B2:D2"/>
  </mergeCells>
  <printOptions horizontalCentered="1"/>
  <pageMargins left="0.75" right="0.75" top="0.5" bottom="0.5" header="0.5" footer="0.25"/>
  <pageSetup paperSize="1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Vertex42 LLC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INCOME STATEMENTS</vt:lpstr>
      <vt:lpstr>NON FINANCIAL KPIs</vt:lpstr>
      <vt:lpstr>STATEMENT OF FINANCIAL POSITION</vt:lpstr>
      <vt:lpstr>CASHFLOW STATEMENTS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Balance Sheet Template</dc:title>
  <dc:creator>Vertex42.com</dc:creator>
  <dc:description>(c) 2008-2019 Vertex42 LLC. All Rights Reserved.</dc:description>
  <cp:lastModifiedBy>WPS_1734198966</cp:lastModifiedBy>
  <dcterms:created xsi:type="dcterms:W3CDTF">2011-05-30T19:04:00Z</dcterms:created>
  <cp:lastPrinted>2019-12-13T19:39:00Z</cp:lastPrinted>
  <dcterms:modified xsi:type="dcterms:W3CDTF">2026-01-22T09:21:25Z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2008-2019 Vertex42 LLC</vt:lpwstr>
  </property>
  <property fmtid="{D5CDD505-2E9C-101B-9397-08002B2CF9AE}" pid="3" name="Version">
    <vt:lpwstr>1.2.2</vt:lpwstr>
  </property>
  <property fmtid="{D5CDD505-2E9C-101B-9397-08002B2CF9AE}" pid="4" name="Source">
    <vt:lpwstr>https://www.vertex42.com/ExcelTemplates/balance-sheet.html</vt:lpwstr>
  </property>
  <property fmtid="{D5CDD505-2E9C-101B-9397-08002B2CF9AE}" pid="5" name="ICV">
    <vt:lpwstr>11E006DE3876DC71EBCF7169E80D181A_43</vt:lpwstr>
  </property>
  <property fmtid="{D5CDD505-2E9C-101B-9397-08002B2CF9AE}" pid="6" name="KSOProductBuildVer">
    <vt:lpwstr>1033-12.1.23153.23153</vt:lpwstr>
  </property>
</Properties>
</file>