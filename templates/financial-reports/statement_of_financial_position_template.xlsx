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 of Financial Pos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78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customWidth="1" width="2.0859375"/>
    <col min="2" max="2" customWidth="1" width="8.0859375"/>
    <col min="3" max="3" customWidth="1" width="25.75"/>
    <col min="4" max="4" customWidth="1" width="14.5859375"/>
    <col min="5" max="5" customWidth="1" width="14.5859375"/>
    <col min="6" max="6" customWidth="1" width="2.0859375"/>
    <col min="7" max="7" customWidth="1" width="7.0859375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31.5" customHeight="1">
      <c r="E1" t="str">
        <v>Balance Sheet</v>
      </c>
    </row>
    <row r="2">
      <c r="D2" t="str">
        <v>Date:</v>
      </c>
    </row>
    <row r="3"/>
    <row r="4" ht="21" customHeight="1">
      <c r="B4" t="str">
        <v>Assets</v>
      </c>
      <c r="D4">
        <v>2020</v>
      </c>
      <c r="E4">
        <v>2019</v>
      </c>
    </row>
    <row r="5" ht="16.8" customHeight="1">
      <c r="B5" t="str">
        <v>Current Assets</v>
      </c>
    </row>
    <row r="6">
      <c r="C6" t="str">
        <v>Cash</v>
      </c>
    </row>
    <row r="7">
      <c r="C7" t="str">
        <v>Accounts receivable</v>
      </c>
    </row>
    <row r="8">
      <c r="C8" t="str">
        <v>Inventory</v>
      </c>
    </row>
    <row r="9">
      <c r="C9" t="str">
        <v>Prepaid expenses</v>
      </c>
    </row>
    <row r="10">
      <c r="C10" t="str">
        <v>Short-term investments</v>
      </c>
    </row>
    <row r="11">
      <c r="C11" t="str">
        <v>Total current assets</v>
      </c>
      <c r="D11" s="1">
        <f>SUM(D6:D10)</f>
        <v>0</v>
      </c>
      <c r="E11" s="1">
        <f>SUM(E6:E10)</f>
        <v>0</v>
      </c>
    </row>
    <row r="12" ht="16.8" customHeight="1">
      <c r="B12" t="str">
        <v>Fixed (Long-Term) Assets</v>
      </c>
    </row>
    <row r="13">
      <c r="C13" t="str">
        <v>Long-term investments</v>
      </c>
    </row>
    <row r="14">
      <c r="C14" t="str">
        <v>Property, plant, and equipment</v>
      </c>
    </row>
    <row r="15">
      <c r="C15" t="str">
        <v>(Less accumulated depreciation)</v>
      </c>
    </row>
    <row r="16">
      <c r="C16" t="str">
        <v>Intangible assets</v>
      </c>
    </row>
    <row r="17">
      <c r="C17" t="str">
        <v>Total fixed assets</v>
      </c>
      <c r="D17" s="1">
        <f>SUM(D13:D16)</f>
        <v>0</v>
      </c>
      <c r="E17" s="1">
        <f>SUM(E13:E16)</f>
        <v>0</v>
      </c>
    </row>
    <row r="18" ht="16.8" customHeight="1">
      <c r="B18" t="str">
        <v>Other Assets</v>
      </c>
    </row>
    <row r="19">
      <c r="C19" t="str">
        <v>Deferred income tax</v>
      </c>
    </row>
    <row r="20">
      <c r="C20" t="str">
        <v>Other</v>
      </c>
    </row>
    <row r="21">
      <c r="C21" t="str">
        <v>Total Other Assets</v>
      </c>
      <c r="D21" s="1">
        <f>SUM(D19:D20)</f>
        <v>0</v>
      </c>
      <c r="E21" s="1">
        <f>SUM(E19:E20)</f>
        <v>0</v>
      </c>
    </row>
    <row r="22"/>
    <row r="23" ht="18.35" customHeight="1">
      <c r="B23" t="str">
        <v>Total Assets</v>
      </c>
      <c r="D23" s="1">
        <f>D11+D17+D21</f>
        <v>0</v>
      </c>
      <c r="E23" s="1">
        <f>E11+E17+E21</f>
        <v>0</v>
      </c>
    </row>
    <row r="24" ht="15.949999999999998" customHeight="1"/>
    <row r="25" ht="21" customHeight="1">
      <c r="A25" t="str">
        <v>[42]</v>
      </c>
      <c r="B25" t="str">
        <v>Liabilities and Owner's Equity</v>
      </c>
    </row>
    <row r="26" ht="16.8" customHeight="1">
      <c r="B26" t="str">
        <v>Current Liabilities</v>
      </c>
    </row>
    <row r="27">
      <c r="C27" t="str">
        <v>Accounts payable</v>
      </c>
    </row>
    <row r="28">
      <c r="C28" t="str">
        <v>Short-term loans</v>
      </c>
    </row>
    <row r="29">
      <c r="C29" t="str">
        <v>Income taxes payable</v>
      </c>
    </row>
    <row r="30">
      <c r="C30" t="str">
        <v>Accrued salaries and wages</v>
      </c>
    </row>
    <row r="31">
      <c r="C31" t="str">
        <v>Unearned revenue</v>
      </c>
    </row>
    <row r="32">
      <c r="C32" t="str">
        <v>Current portion of long-term debt</v>
      </c>
    </row>
    <row r="33">
      <c r="C33" t="str">
        <v>Total current liabilities</v>
      </c>
      <c r="D33" s="1">
        <f>SUM(D27:D32)</f>
        <v>0</v>
      </c>
      <c r="E33" s="1">
        <f>SUM(E27:E32)</f>
        <v>0</v>
      </c>
    </row>
    <row r="34" ht="16.8" customHeight="1">
      <c r="B34" t="str">
        <v>Long-Term Liabilities</v>
      </c>
    </row>
    <row r="35">
      <c r="C35" t="str">
        <v>Long-term debt</v>
      </c>
    </row>
    <row r="36">
      <c r="C36" t="str">
        <v>Deferred income tax</v>
      </c>
    </row>
    <row r="37">
      <c r="C37" t="str">
        <v>Other</v>
      </c>
    </row>
    <row r="38">
      <c r="C38" t="str">
        <v>Total long-term liabilities</v>
      </c>
      <c r="D38" s="1">
        <f>SUM(D35:D37)</f>
        <v>0</v>
      </c>
      <c r="E38" s="1">
        <f>SUM(E35:E37)</f>
        <v>0</v>
      </c>
    </row>
    <row r="39" ht="16.8" customHeight="1">
      <c r="B39" t="str">
        <v>Owner's Equity</v>
      </c>
    </row>
    <row r="40">
      <c r="C40" t="str">
        <v>Owner's investment</v>
      </c>
    </row>
    <row r="41">
      <c r="C41" t="str">
        <v>Retained earnings</v>
      </c>
    </row>
    <row r="42">
      <c r="C42" t="str">
        <v>Other</v>
      </c>
    </row>
    <row r="43">
      <c r="C43" t="str">
        <v>Total owner's equity</v>
      </c>
      <c r="D43" s="1">
        <f>SUM(D40:D42)</f>
        <v>0</v>
      </c>
      <c r="E43" s="1">
        <f>SUM(E40:E42)</f>
        <v>0</v>
      </c>
    </row>
    <row r="44"/>
    <row r="45" ht="18.35" customHeight="1">
      <c r="B45" t="str">
        <v>Total Liabilities and Owner's Equity</v>
      </c>
      <c r="D45" s="1">
        <f>D33+D38+D43</f>
        <v>0</v>
      </c>
      <c r="E45" s="1">
        <f>E33+E38+E43</f>
        <v>0</v>
      </c>
    </row>
    <row r="46" ht="15.949999999999998" customHeight="1">
      <c r="E46" t="str">
        <v>{42}</v>
      </c>
    </row>
    <row r="47" ht="21" customHeight="1">
      <c r="B47" t="str">
        <v>Common Financial Ratios (KPI's)</v>
      </c>
    </row>
    <row r="48" ht="16" customHeight="1">
      <c r="B48" t="str">
        <v>Debt Ratio (Total Liabilities / Total Assets)</v>
      </c>
      <c r="D48" s="2" t="str">
        <f>IF(D23=0,"",(D33+D38)/D23)</f>
        <v/>
      </c>
      <c r="E48" s="2" t="str">
        <f>IF(E23=0,"",(E33+E38)/E23)</f>
        <v/>
      </c>
    </row>
    <row r="49" ht="16" customHeight="1">
      <c r="B49" t="str">
        <v>Current Ratio (Current Assets / Current Liabilities)</v>
      </c>
      <c r="D49" s="2" t="str">
        <f>IF(D33=0,"",D11/D33)</f>
        <v/>
      </c>
      <c r="E49" s="2" t="str">
        <f>IF(E33=0,"",E11/E33)</f>
        <v/>
      </c>
    </row>
    <row r="50" ht="16" customHeight="1">
      <c r="B50" t="str">
        <v>Working Capital (Current Assets - Current Liabilities)</v>
      </c>
      <c r="D50" s="3">
        <f>D11-D33</f>
        <v>0</v>
      </c>
      <c r="E50" s="3">
        <f>E11-E33</f>
        <v>0</v>
      </c>
    </row>
    <row r="51" ht="16" customHeight="1">
      <c r="B51" t="str">
        <v>Assets-to-Equity Ratio (Total Assets / Owner's Equity)</v>
      </c>
      <c r="D51" s="2" t="str">
        <f>IF(D43=0,"",D23/D43)</f>
        <v/>
      </c>
      <c r="E51" s="2" t="str">
        <f>IF(E43=0,"",E23/E43)</f>
        <v/>
      </c>
    </row>
    <row r="52" ht="16" customHeight="1">
      <c r="B52" t="str">
        <v>ROCE (EBIT/ Total Assets - Current Liabilities)</v>
      </c>
      <c r="D52" s="2" t="e">
        <f>D41/(D23-D33)</f>
        <v>#DIV/0!</v>
      </c>
    </row>
    <row r="53" ht="16" customHeight="1">
      <c r="B53" t="str">
        <v>Revenue Growth Rate (Current - Prior Period revenue)/Prior Period Revenue</v>
      </c>
    </row>
    <row r="54">
      <c r="B54" t="str">
        <v>PROFITABILITY RATIOS</v>
      </c>
    </row>
    <row r="55" ht="16" customHeight="1">
      <c r="B55" t="str">
        <v xml:space="preserve">Net Profit Margin Ratio : Net Profit / Revenue </v>
      </c>
    </row>
    <row r="56" ht="16" customHeight="1">
      <c r="B56" t="str">
        <v>Return on Assets (ROA): Net Profit / Total Assets</v>
      </c>
    </row>
    <row r="57" ht="16" customHeight="1">
      <c r="B57" t="str">
        <v>Return on Equity (ROE) = Net Profit / Total Shareholders' Equity</v>
      </c>
    </row>
    <row r="58" ht="16" customHeight="1">
      <c r="B58" t="str">
        <v>Gross Margin= ((Revenue-COGS)/Revenue)</v>
      </c>
    </row>
    <row r="59" ht="16" customHeight="1">
      <c r="B59" t="str">
        <v>Burn Rate ( Cash Spent per month)</v>
      </c>
    </row>
    <row r="60" ht="16" customHeight="1">
      <c r="B60" t="str">
        <v>Runway (months)- (Cash Balance/Burn Rate)</v>
      </c>
    </row>
    <row r="61" ht="16" customHeight="1">
      <c r="B61" t="str">
        <v>EBITDA Margin- (EBITDA/Revenue)*100</v>
      </c>
    </row>
    <row r="62" ht="16" customHeight="1">
      <c r="B62" t="str">
        <v>Debt-to-Equity Ratio (Total Liabilities / Owner's Equity)</v>
      </c>
      <c r="D62" s="2" t="str">
        <f>IF(D43=0,"",(D33+D38)/D43)</f>
        <v/>
      </c>
      <c r="E62" s="2" t="str">
        <f>IF(E43=0,"",(E33+E38)/E43)</f>
        <v/>
      </c>
    </row>
  </sheetData>
  <pageMargins left="0.5" right="0.5" top="0.5" bottom="0.5" header="0.5" footer="0.25"/>
  <ignoredErrors>
    <ignoredError numberStoredAsText="1" sqref="A1: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Financial 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